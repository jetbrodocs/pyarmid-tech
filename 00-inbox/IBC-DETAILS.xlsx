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3"/>
  </bookViews>
  <sheets>
    <sheet name="GRANULES TO IC" sheetId="10" r:id="rId1"/>
    <sheet name="PIPE to CAGE--BOM" sheetId="9" r:id="rId2"/>
    <sheet name="Pallet Assembly" sheetId="11" r:id="rId3"/>
    <sheet name="FG-BOM-W" sheetId="12" r:id="rId4"/>
  </sheets>
  <definedNames>
    <definedName name="_xlnm._FilterDatabase" localSheetId="2" hidden="1">'Pallet Assembly'!$A$4:$H$36</definedName>
    <definedName name="_xlnm.Print_Titles" localSheetId="0">'GRANULES TO IC'!$4:$4</definedName>
    <definedName name="_xlnm.Print_Titles" localSheetId="2">'Pallet Assembly'!$3:$4</definedName>
  </definedNames>
  <calcPr calcId="152511"/>
</workbook>
</file>

<file path=xl/calcChain.xml><?xml version="1.0" encoding="utf-8"?>
<calcChain xmlns="http://schemas.openxmlformats.org/spreadsheetml/2006/main">
  <c r="E29" i="11" l="1"/>
  <c r="E30" i="11" s="1"/>
  <c r="E31" i="11" s="1"/>
  <c r="E32" i="11" s="1"/>
  <c r="E33" i="11" s="1"/>
  <c r="E34" i="11" s="1"/>
  <c r="E35" i="11" s="1"/>
  <c r="E19" i="11"/>
  <c r="E20" i="11" s="1"/>
  <c r="E21" i="11" s="1"/>
  <c r="E22" i="11" s="1"/>
  <c r="E23" i="11" s="1"/>
  <c r="E24" i="11" s="1"/>
  <c r="E25" i="11" s="1"/>
  <c r="E26" i="11" s="1"/>
  <c r="I71" i="9" l="1"/>
  <c r="I63" i="9"/>
  <c r="H51" i="9"/>
  <c r="I44" i="9"/>
  <c r="I43" i="9"/>
  <c r="H43" i="9"/>
  <c r="I26" i="9"/>
</calcChain>
</file>

<file path=xl/sharedStrings.xml><?xml version="1.0" encoding="utf-8"?>
<sst xmlns="http://schemas.openxmlformats.org/spreadsheetml/2006/main" count="271" uniqueCount="152">
  <si>
    <t>G P COIL - 1.20 X 88 MM</t>
  </si>
  <si>
    <t>G P COIL - 0.90 X 65 MM</t>
  </si>
  <si>
    <t>G P COIL - 1.00 X 62 MM</t>
  </si>
  <si>
    <t>ROUND PIPE (19*1.0*4110)</t>
  </si>
  <si>
    <t>ZIGZAG  PIPE (19*1.0*4420)</t>
  </si>
  <si>
    <t xml:space="preserve">CUT VERTICAL BAR (16*16*09*1018) </t>
  </si>
  <si>
    <t>TOP CROSS BAR ( 1020)</t>
  </si>
  <si>
    <t>FLAT BASE RING</t>
  </si>
  <si>
    <t>EASY BASE RING</t>
  </si>
  <si>
    <t>CAGE-BIG</t>
  </si>
  <si>
    <t>CAGE - MAX</t>
  </si>
  <si>
    <t>Sr.</t>
  </si>
  <si>
    <t>Unit</t>
  </si>
  <si>
    <t>STEEL TO PIPE</t>
  </si>
  <si>
    <t>QTY</t>
  </si>
  <si>
    <t>RM USE</t>
  </si>
  <si>
    <t>Gr. Wt.</t>
  </si>
  <si>
    <t>NetWt</t>
  </si>
  <si>
    <t>REMARKS</t>
  </si>
  <si>
    <t>Kgs</t>
  </si>
  <si>
    <t>GRAMS</t>
  </si>
  <si>
    <t>SFG</t>
  </si>
  <si>
    <t>TAIL PIPE(18*15*1*4175)</t>
  </si>
  <si>
    <t>Bar-Waste</t>
  </si>
  <si>
    <t>VERTICAL BAR(16*16*09*5130)</t>
  </si>
  <si>
    <t>HORIZONTAL BAR (16*16*.9*4230)</t>
  </si>
  <si>
    <t>ROUND PIPE (19*1.0*4010)</t>
  </si>
  <si>
    <t>Grams</t>
  </si>
  <si>
    <t xml:space="preserve">CUT VERTICAL BAR (16*16*09*1002) </t>
  </si>
  <si>
    <t>( 5 cut pcs  = 1 pipe )</t>
  </si>
  <si>
    <t>Cut Piece Scrap</t>
  </si>
  <si>
    <t>FOR MAX</t>
  </si>
  <si>
    <t>(  5 cut pcs = 1 pipe )</t>
  </si>
  <si>
    <t>FOR BIG</t>
  </si>
  <si>
    <t>( 1 pipe = 4 cut pcs)</t>
  </si>
  <si>
    <t>TOP CROSS BAR</t>
  </si>
  <si>
    <t>( 1 pipe = 1 cut pcs)</t>
  </si>
  <si>
    <t>ZIG ZAG EASY BASE RING</t>
  </si>
  <si>
    <t xml:space="preserve">Cut Piece Waste </t>
  </si>
  <si>
    <t>MAKING CAGE</t>
  </si>
  <si>
    <t>Nos</t>
  </si>
  <si>
    <t>Gr Wt ( Grams)</t>
  </si>
  <si>
    <t>NetWt (Grams)</t>
  </si>
  <si>
    <t>CUT VERTICAL BAR(16*16*09*1018)</t>
  </si>
  <si>
    <t>PIPE INSERT  70MM</t>
  </si>
  <si>
    <t>CUT VERTICAL BAR(16*16*09*1002)</t>
  </si>
  <si>
    <t>Sr</t>
  </si>
  <si>
    <t>Item Name</t>
  </si>
  <si>
    <t>Qty</t>
  </si>
  <si>
    <t>Nett. Weight</t>
  </si>
  <si>
    <t>Gr. Weight</t>
  </si>
  <si>
    <t>+/- Wt</t>
  </si>
  <si>
    <t>Remarks</t>
  </si>
  <si>
    <t>(Kgs)</t>
  </si>
  <si>
    <t>IC 1000 LTRS. 2 INCH NAT (15kgs)</t>
  </si>
  <si>
    <t>a)</t>
  </si>
  <si>
    <t>HDPE Granuals</t>
  </si>
  <si>
    <t>b)</t>
  </si>
  <si>
    <t>Grinding</t>
  </si>
  <si>
    <t xml:space="preserve">c) </t>
  </si>
  <si>
    <t>UV Stabilizer</t>
  </si>
  <si>
    <t>1% In Non UV HDPE Granuals</t>
  </si>
  <si>
    <t>UPDATE WITH HELP OF PRAVIN &amp; PAWAN ON 11.07.2024</t>
  </si>
  <si>
    <t>NOS</t>
  </si>
  <si>
    <t>CP-FLAT (COMPOSITE PALLETS)</t>
  </si>
  <si>
    <t>BOTTOM PLATE</t>
  </si>
  <si>
    <t>(CP-FLAT 1000MM X 1200MM )</t>
  </si>
  <si>
    <t>TRAVERSAL PIECE</t>
  </si>
  <si>
    <t>CORNER SPACER</t>
  </si>
  <si>
    <t>SIDE SPACER</t>
  </si>
  <si>
    <t>BACK SPACER</t>
  </si>
  <si>
    <t>DRIP PAN</t>
  </si>
  <si>
    <t>BASE RING - FLAT</t>
  </si>
  <si>
    <t>SELF THREAD SCREW 6.4MM X 49MM (TOREX HEAD)</t>
  </si>
  <si>
    <t>SELF THREAD SCREW 6.4MM X 27MM (TOREX HEAD)</t>
  </si>
  <si>
    <t>CP-EASY (COMPOSITE PALLETS)</t>
  </si>
  <si>
    <t>(CP-EAZY 1000MM X 1200MM )</t>
  </si>
  <si>
    <t>BASE RING - EASY</t>
  </si>
  <si>
    <t>SP ( STEEL PALLETS )</t>
  </si>
  <si>
    <t>(SP - 1000MM X 1200MM )</t>
  </si>
  <si>
    <t>HEX BOLT (HALF THREAD ) M8 X 50MM</t>
  </si>
  <si>
    <t xml:space="preserve">HEX BOLT (HALF THREAD ) M8 X 25 MM </t>
  </si>
  <si>
    <t>U CLIP 55 X 30 X 1.5MM</t>
  </si>
  <si>
    <t>STEEL PALLETS</t>
  </si>
  <si>
    <t>WP-PINE ( WOODEN PALLETS)</t>
  </si>
  <si>
    <t>SELF THREAD SCREW 6.4MM X 100MM</t>
  </si>
  <si>
    <t>(WP-PINE 1000MM X 1200MM)</t>
  </si>
  <si>
    <t>SELF THREAD SCREW 6.4MM X 40MM</t>
  </si>
  <si>
    <t>CLAMP BIG 55 X 75 X 1.5 MM</t>
  </si>
  <si>
    <t>PALLET PINE WOODEN 1000MM X 1200MM</t>
  </si>
  <si>
    <t>WP-JUNGLE  ( WOODEN PALLETS)</t>
  </si>
  <si>
    <t>(WP-JUNGLE 1205MM X 1005MM )</t>
  </si>
  <si>
    <t>SELF THREAD SCREW 8MM X 75MM (FT)</t>
  </si>
  <si>
    <t xml:space="preserve">PALLET JUNGLE WOODEN 1205MM X 1005MM </t>
  </si>
  <si>
    <t>PP ( PLASTIC PALLETS)</t>
  </si>
  <si>
    <t>C CHANNEL</t>
  </si>
  <si>
    <t>(PP - 1000MM X 1200MM )</t>
  </si>
  <si>
    <t>HEX BOLT (HALF THREAD ) M8 X 145MM</t>
  </si>
  <si>
    <t>HEX BOLT (HALF THREAD ) M8 X 45MM</t>
  </si>
  <si>
    <t>ALLEN BOLT CSK M8 X 140MM</t>
  </si>
  <si>
    <t>C NUT M8 X 25 X 16 X 15 X 1.5THK</t>
  </si>
  <si>
    <t>PLASTIC PALLETS</t>
  </si>
  <si>
    <t>ITEM NAME</t>
  </si>
  <si>
    <t xml:space="preserve">LONG PIPE TO SMALL PCS </t>
  </si>
  <si>
    <t>ITEM USED</t>
  </si>
  <si>
    <t>Purchase Item</t>
  </si>
  <si>
    <t>Item Used</t>
  </si>
  <si>
    <t>Item Name ( USED )</t>
  </si>
  <si>
    <t>Item Name ( Assembly )</t>
  </si>
  <si>
    <t>assembly</t>
  </si>
  <si>
    <t>Pallet Type</t>
  </si>
  <si>
    <t>CP-FLAT</t>
  </si>
  <si>
    <t>ACCESSORIES</t>
  </si>
  <si>
    <t>Type of Valve</t>
  </si>
  <si>
    <t>Valve Size</t>
  </si>
  <si>
    <t>Valve Gasket</t>
  </si>
  <si>
    <t>PE</t>
  </si>
  <si>
    <t>CAP</t>
  </si>
  <si>
    <t>CAP GAKET</t>
  </si>
  <si>
    <t>EPDM</t>
  </si>
  <si>
    <t>CAP VENT INSERT</t>
  </si>
  <si>
    <t>INNER CONTAINER</t>
  </si>
  <si>
    <t>IC 15</t>
  </si>
  <si>
    <t>BIG</t>
  </si>
  <si>
    <t>ID PLATE SIZE</t>
  </si>
  <si>
    <t>ACCESSORIES 1</t>
  </si>
  <si>
    <t>ACCESSORIES 2</t>
  </si>
  <si>
    <t>SECURITY FLAP</t>
  </si>
  <si>
    <t xml:space="preserve">PACKING </t>
  </si>
  <si>
    <t>SCREW WITH NYLOCK NUT 6 X 20 (BOLT)</t>
  </si>
  <si>
    <t>HEX BOLT (HALF THREAD ) M8 X 110MM</t>
  </si>
  <si>
    <t>SELF THREAD SCREW 6.4MM X 20MM</t>
  </si>
  <si>
    <t>SELF THREAD SCREW-6.4MM X 60MM</t>
  </si>
  <si>
    <t>CORNER PROTECTOR</t>
  </si>
  <si>
    <t>TOP CLINCHING COVER</t>
  </si>
  <si>
    <t>CLINCHING COVER</t>
  </si>
  <si>
    <t>SCREW FOR ID PLATE-4.2x13.3</t>
  </si>
  <si>
    <t>SCREW WITH NYLOCK NUT-5X12(BOLT)</t>
  </si>
  <si>
    <t>STICKER RECOLLECT</t>
  </si>
  <si>
    <t>SCREW WITH NYLOCK NUT 6 X 20MM</t>
  </si>
  <si>
    <t>BTF 3 INCH</t>
  </si>
  <si>
    <t>DG CAP</t>
  </si>
  <si>
    <t>D15</t>
  </si>
  <si>
    <t>Item Details</t>
  </si>
  <si>
    <t>FINAL BOM FOR IBC</t>
  </si>
  <si>
    <t>ID PLATE  1</t>
  </si>
  <si>
    <t>Qty
(Nos)</t>
  </si>
  <si>
    <t>( NOS)</t>
  </si>
  <si>
    <t>CAGE TYPE</t>
  </si>
  <si>
    <t>MAX</t>
  </si>
  <si>
    <t>DN50</t>
  </si>
  <si>
    <t>1000 LTR IBC HM-HDPE BULK CONTAINER CP-FLAT DN50 QD BV 2.5 INCH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</si>
</sst>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</font>
    <font>
      <sz val="10"/>
      <color theme="1"/>
      <name val="Calibri"/>
      <family val="2"/>
      <scheme val="minor"/>
    </font>
    <font>
      <sz val="11"/>
      <color rgb="FF00206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8CBAD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quotePrefix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2" fillId="3" borderId="1" xfId="0" applyFont="1" applyFill="1" applyBorder="1" applyAlignment="1">
      <alignment horizontal="left"/>
    </xf>
    <xf numFmtId="0" fontId="0" fillId="0" borderId="1" xfId="0" quotePrefix="1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right"/>
    </xf>
    <xf numFmtId="2" fontId="5" fillId="4" borderId="1" xfId="0" applyNumberFormat="1" applyFont="1" applyFill="1" applyBorder="1" applyAlignment="1">
      <alignment horizontal="right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right"/>
    </xf>
    <xf numFmtId="0" fontId="5" fillId="4" borderId="1" xfId="0" applyFont="1" applyFill="1" applyBorder="1" applyAlignment="1">
      <alignment horizontal="center"/>
    </xf>
    <xf numFmtId="0" fontId="0" fillId="2" borderId="1" xfId="0" applyFont="1" applyFill="1" applyBorder="1"/>
    <xf numFmtId="0" fontId="4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right"/>
    </xf>
    <xf numFmtId="0" fontId="0" fillId="0" borderId="1" xfId="0" applyFont="1" applyBorder="1"/>
    <xf numFmtId="0" fontId="3" fillId="2" borderId="1" xfId="0" applyFont="1" applyFill="1" applyBorder="1"/>
    <xf numFmtId="0" fontId="2" fillId="4" borderId="1" xfId="0" applyFont="1" applyFill="1" applyBorder="1"/>
    <xf numFmtId="0" fontId="0" fillId="2" borderId="0" xfId="0" applyFill="1"/>
    <xf numFmtId="0" fontId="0" fillId="2" borderId="0" xfId="0" applyFill="1" applyAlignment="1">
      <alignment horizontal="center"/>
    </xf>
    <xf numFmtId="0" fontId="1" fillId="0" borderId="1" xfId="0" quotePrefix="1" applyFont="1" applyBorder="1"/>
    <xf numFmtId="0" fontId="1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1" xfId="0" applyNumberFormat="1" applyBorder="1"/>
    <xf numFmtId="165" fontId="0" fillId="2" borderId="1" xfId="0" applyNumberFormat="1" applyFill="1" applyBorder="1"/>
    <xf numFmtId="0" fontId="0" fillId="5" borderId="1" xfId="0" applyFill="1" applyBorder="1"/>
    <xf numFmtId="0" fontId="1" fillId="2" borderId="1" xfId="0" applyFont="1" applyFill="1" applyBorder="1"/>
    <xf numFmtId="0" fontId="0" fillId="2" borderId="1" xfId="0" applyFont="1" applyFill="1" applyBorder="1" applyAlignment="1">
      <alignment horizontal="center"/>
    </xf>
    <xf numFmtId="0" fontId="0" fillId="6" borderId="1" xfId="0" applyFont="1" applyFill="1" applyBorder="1"/>
    <xf numFmtId="0" fontId="0" fillId="7" borderId="1" xfId="0" applyFont="1" applyFill="1" applyBorder="1"/>
    <xf numFmtId="0" fontId="0" fillId="2" borderId="1" xfId="0" quotePrefix="1" applyFont="1" applyFill="1" applyBorder="1"/>
    <xf numFmtId="0" fontId="0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0" fillId="2" borderId="1" xfId="0" applyFont="1" applyFill="1" applyBorder="1" applyAlignment="1">
      <alignment horizontal="left"/>
    </xf>
    <xf numFmtId="0" fontId="0" fillId="2" borderId="1" xfId="0" applyFill="1" applyBorder="1" applyAlignment="1">
      <alignment wrapText="1"/>
    </xf>
    <xf numFmtId="1" fontId="0" fillId="2" borderId="1" xfId="0" applyNumberFormat="1" applyFill="1" applyBorder="1"/>
    <xf numFmtId="0" fontId="2" fillId="4" borderId="1" xfId="0" applyFont="1" applyFill="1" applyBorder="1" applyAlignment="1">
      <alignment horizontal="right"/>
    </xf>
    <xf numFmtId="0" fontId="1" fillId="5" borderId="1" xfId="0" applyFont="1" applyFill="1" applyBorder="1"/>
    <xf numFmtId="0" fontId="0" fillId="5" borderId="1" xfId="0" applyFill="1" applyBorder="1" applyAlignment="1">
      <alignment horizontal="right"/>
    </xf>
    <xf numFmtId="2" fontId="5" fillId="8" borderId="1" xfId="0" applyNumberFormat="1" applyFont="1" applyFill="1" applyBorder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2" borderId="0" xfId="0" applyFill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L10"/>
  <sheetViews>
    <sheetView topLeftCell="B2" workbookViewId="0">
      <selection activeCell="K10" sqref="K10"/>
    </sheetView>
  </sheetViews>
  <sheetFormatPr defaultRowHeight="15" x14ac:dyDescent="0.25"/>
  <cols>
    <col min="2" max="2" width="4.85546875" customWidth="1"/>
    <col min="3" max="3" width="41.85546875" bestFit="1" customWidth="1"/>
    <col min="4" max="4" width="5.42578125" customWidth="1"/>
    <col min="5" max="5" width="8.140625" customWidth="1"/>
    <col min="6" max="6" width="12.5703125" bestFit="1" customWidth="1"/>
    <col min="7" max="7" width="10.7109375" bestFit="1" customWidth="1"/>
    <col min="9" max="9" width="9.140625" style="2"/>
    <col min="10" max="10" width="32.28515625" customWidth="1"/>
    <col min="11" max="11" width="11.42578125" customWidth="1"/>
    <col min="12" max="12" width="30.42578125" customWidth="1"/>
  </cols>
  <sheetData>
    <row r="1" spans="2:12" hidden="1" x14ac:dyDescent="0.25"/>
    <row r="2" spans="2:12" x14ac:dyDescent="0.25">
      <c r="C2" s="21"/>
      <c r="I2" s="22"/>
      <c r="J2" s="21"/>
      <c r="K2" s="21"/>
    </row>
    <row r="3" spans="2:12" x14ac:dyDescent="0.25">
      <c r="B3" s="59"/>
      <c r="C3" s="59"/>
      <c r="D3" s="59"/>
      <c r="E3" s="59"/>
      <c r="F3" s="59"/>
      <c r="G3" s="9"/>
      <c r="H3" s="9"/>
      <c r="I3" s="60"/>
      <c r="J3" s="60"/>
      <c r="K3" s="60"/>
      <c r="L3" s="1"/>
    </row>
    <row r="4" spans="2:12" ht="20.25" customHeight="1" x14ac:dyDescent="0.25">
      <c r="B4" s="8" t="s">
        <v>46</v>
      </c>
      <c r="C4" s="8" t="s">
        <v>47</v>
      </c>
      <c r="D4" s="8" t="s">
        <v>48</v>
      </c>
      <c r="E4" s="8" t="s">
        <v>12</v>
      </c>
      <c r="F4" s="8" t="s">
        <v>49</v>
      </c>
      <c r="G4" s="8" t="s">
        <v>50</v>
      </c>
      <c r="H4" s="23" t="s">
        <v>51</v>
      </c>
      <c r="I4" s="24" t="s">
        <v>11</v>
      </c>
      <c r="J4" s="24" t="s">
        <v>106</v>
      </c>
      <c r="K4" s="24" t="s">
        <v>48</v>
      </c>
      <c r="L4" s="1" t="s">
        <v>52</v>
      </c>
    </row>
    <row r="5" spans="2:12" ht="20.25" customHeight="1" x14ac:dyDescent="0.25">
      <c r="B5" s="1"/>
      <c r="C5" s="1"/>
      <c r="D5" s="1"/>
      <c r="E5" s="1"/>
      <c r="F5" s="4" t="s">
        <v>53</v>
      </c>
      <c r="G5" s="25" t="s">
        <v>53</v>
      </c>
      <c r="H5" s="4" t="s">
        <v>53</v>
      </c>
      <c r="I5" s="26"/>
      <c r="J5" s="5"/>
      <c r="K5" s="4" t="s">
        <v>53</v>
      </c>
      <c r="L5" s="1"/>
    </row>
    <row r="6" spans="2:12" ht="20.25" customHeight="1" x14ac:dyDescent="0.25">
      <c r="B6" s="1"/>
      <c r="C6" s="1"/>
      <c r="D6" s="1"/>
      <c r="E6" s="1"/>
      <c r="F6" s="4"/>
      <c r="G6" s="4"/>
      <c r="H6" s="27"/>
      <c r="I6" s="26"/>
      <c r="J6" s="5"/>
      <c r="K6" s="5"/>
      <c r="L6" s="1"/>
    </row>
    <row r="7" spans="2:12" x14ac:dyDescent="0.25">
      <c r="B7" s="1">
        <v>1</v>
      </c>
      <c r="C7" s="1" t="s">
        <v>54</v>
      </c>
      <c r="D7" s="1">
        <v>1</v>
      </c>
      <c r="E7" s="1" t="s">
        <v>40</v>
      </c>
      <c r="F7" s="28">
        <v>15.2</v>
      </c>
      <c r="G7" s="28">
        <v>21.35</v>
      </c>
      <c r="H7" s="28">
        <v>0.2</v>
      </c>
      <c r="I7" s="26" t="s">
        <v>55</v>
      </c>
      <c r="J7" s="5" t="s">
        <v>56</v>
      </c>
      <c r="K7" s="29">
        <v>14.945</v>
      </c>
      <c r="L7" s="1"/>
    </row>
    <row r="8" spans="2:12" x14ac:dyDescent="0.25">
      <c r="B8" s="1"/>
      <c r="C8" s="1"/>
      <c r="D8" s="1"/>
      <c r="E8" s="1"/>
      <c r="F8" s="28"/>
      <c r="G8" s="28"/>
      <c r="H8" s="28"/>
      <c r="I8" s="26" t="s">
        <v>57</v>
      </c>
      <c r="J8" s="5" t="s">
        <v>58</v>
      </c>
      <c r="K8" s="29">
        <v>6.4050000000000002</v>
      </c>
      <c r="L8" s="1"/>
    </row>
    <row r="9" spans="2:12" x14ac:dyDescent="0.25">
      <c r="B9" s="1"/>
      <c r="C9" s="1"/>
      <c r="D9" s="1"/>
      <c r="E9" s="1"/>
      <c r="F9" s="28"/>
      <c r="G9" s="28"/>
      <c r="H9" s="28"/>
      <c r="I9" s="26" t="s">
        <v>59</v>
      </c>
      <c r="J9" s="30" t="s">
        <v>60</v>
      </c>
      <c r="K9" s="29">
        <v>0.21350000000000002</v>
      </c>
      <c r="L9" s="7" t="s">
        <v>61</v>
      </c>
    </row>
    <row r="10" spans="2:12" x14ac:dyDescent="0.25">
      <c r="B10" s="1"/>
      <c r="C10" s="1"/>
      <c r="D10" s="1"/>
      <c r="E10" s="1"/>
      <c r="F10" s="1"/>
      <c r="G10" s="1"/>
      <c r="H10" s="28"/>
      <c r="I10" s="26"/>
      <c r="J10" s="5"/>
      <c r="K10" s="29"/>
      <c r="L10" s="1"/>
    </row>
  </sheetData>
  <mergeCells count="2">
    <mergeCell ref="B3:F3"/>
    <mergeCell ref="I3:K3"/>
  </mergeCells>
  <pageMargins left="0.70866141732283472" right="0.70866141732283472" top="0.74803149606299213" bottom="0.74803149606299213" header="0.31496062992125984" footer="0.31496062992125984"/>
  <pageSetup paperSize="9" scale="61" fitToHeight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74"/>
  <sheetViews>
    <sheetView topLeftCell="A61" zoomScaleNormal="100" workbookViewId="0">
      <selection activeCell="D68" sqref="D68"/>
    </sheetView>
  </sheetViews>
  <sheetFormatPr defaultRowHeight="15" x14ac:dyDescent="0.25"/>
  <cols>
    <col min="1" max="1" width="5.42578125" customWidth="1"/>
    <col min="2" max="2" width="6.28515625" customWidth="1"/>
    <col min="3" max="3" width="6.42578125" customWidth="1"/>
    <col min="4" max="4" width="33.140625" bestFit="1" customWidth="1"/>
    <col min="5" max="5" width="7" customWidth="1"/>
    <col min="6" max="6" width="32.28515625" customWidth="1"/>
    <col min="7" max="7" width="5.42578125" customWidth="1"/>
    <col min="8" max="8" width="14" bestFit="1" customWidth="1"/>
    <col min="9" max="9" width="14.42578125" bestFit="1" customWidth="1"/>
    <col min="10" max="10" width="31.28515625" customWidth="1"/>
  </cols>
  <sheetData>
    <row r="1" spans="2:10" x14ac:dyDescent="0.25">
      <c r="F1" s="3"/>
      <c r="G1" s="3"/>
    </row>
    <row r="2" spans="2:10" x14ac:dyDescent="0.25">
      <c r="B2" s="30"/>
      <c r="C2" s="30"/>
      <c r="D2" s="43" t="s">
        <v>13</v>
      </c>
      <c r="E2" s="30"/>
      <c r="F2" s="30"/>
      <c r="G2" s="30"/>
      <c r="H2" s="30"/>
      <c r="I2" s="30"/>
      <c r="J2" s="30"/>
    </row>
    <row r="3" spans="2:10" ht="15" customHeight="1" x14ac:dyDescent="0.25">
      <c r="B3" s="5" t="s">
        <v>11</v>
      </c>
      <c r="C3" s="31"/>
      <c r="D3" s="16" t="s">
        <v>102</v>
      </c>
      <c r="E3" s="16" t="s">
        <v>14</v>
      </c>
      <c r="F3" s="16" t="s">
        <v>15</v>
      </c>
      <c r="G3" s="16"/>
      <c r="H3" s="16" t="s">
        <v>16</v>
      </c>
      <c r="I3" s="17" t="s">
        <v>17</v>
      </c>
      <c r="J3" s="16" t="s">
        <v>18</v>
      </c>
    </row>
    <row r="4" spans="2:10" x14ac:dyDescent="0.25">
      <c r="B4" s="5"/>
      <c r="C4" s="31"/>
      <c r="D4" s="16"/>
      <c r="E4" s="16" t="s">
        <v>147</v>
      </c>
      <c r="F4" s="16"/>
      <c r="G4" s="16"/>
      <c r="H4" s="14" t="s">
        <v>19</v>
      </c>
      <c r="I4" s="13" t="s">
        <v>20</v>
      </c>
      <c r="J4" s="16"/>
    </row>
    <row r="5" spans="2:10" x14ac:dyDescent="0.25">
      <c r="B5" s="5">
        <v>1</v>
      </c>
      <c r="C5" s="19"/>
      <c r="D5" s="12" t="s">
        <v>22</v>
      </c>
      <c r="E5" s="12">
        <v>1</v>
      </c>
      <c r="F5" s="12"/>
      <c r="G5" s="12"/>
      <c r="H5" s="13"/>
      <c r="I5" s="13"/>
      <c r="J5" s="12"/>
    </row>
    <row r="6" spans="2:10" x14ac:dyDescent="0.25">
      <c r="B6" s="5"/>
      <c r="C6" s="5"/>
      <c r="D6" s="5"/>
      <c r="E6" s="5"/>
      <c r="F6" s="5" t="s">
        <v>0</v>
      </c>
      <c r="G6" s="5"/>
      <c r="H6" s="10">
        <v>3.48</v>
      </c>
      <c r="I6" s="11">
        <v>3445</v>
      </c>
      <c r="J6" s="5"/>
    </row>
    <row r="7" spans="2:10" x14ac:dyDescent="0.25">
      <c r="B7" s="5"/>
      <c r="C7" s="5"/>
      <c r="D7" s="5"/>
      <c r="E7" s="5"/>
      <c r="F7" s="5" t="s">
        <v>23</v>
      </c>
      <c r="G7" s="5"/>
      <c r="H7" s="10"/>
      <c r="I7" s="11">
        <v>35</v>
      </c>
      <c r="J7" s="5"/>
    </row>
    <row r="8" spans="2:10" x14ac:dyDescent="0.25">
      <c r="B8" s="5"/>
      <c r="C8" s="5"/>
      <c r="D8" s="5"/>
      <c r="E8" s="5"/>
      <c r="F8" s="15"/>
      <c r="G8" s="15"/>
      <c r="H8" s="10"/>
      <c r="I8" s="11"/>
      <c r="J8" s="5"/>
    </row>
    <row r="9" spans="2:10" x14ac:dyDescent="0.25">
      <c r="B9" s="5">
        <v>2</v>
      </c>
      <c r="C9" s="19"/>
      <c r="D9" s="12" t="s">
        <v>24</v>
      </c>
      <c r="E9" s="12">
        <v>1</v>
      </c>
      <c r="F9" s="12"/>
      <c r="G9" s="12"/>
      <c r="H9" s="13"/>
      <c r="I9" s="11"/>
      <c r="J9" s="12"/>
    </row>
    <row r="10" spans="2:10" x14ac:dyDescent="0.25">
      <c r="B10" s="5"/>
      <c r="C10" s="5"/>
      <c r="D10" s="5"/>
      <c r="E10" s="5"/>
      <c r="F10" s="6" t="s">
        <v>1</v>
      </c>
      <c r="G10" s="6"/>
      <c r="H10" s="10">
        <v>2.33</v>
      </c>
      <c r="I10" s="11">
        <v>2295</v>
      </c>
      <c r="J10" s="5"/>
    </row>
    <row r="11" spans="2:10" x14ac:dyDescent="0.25">
      <c r="B11" s="5"/>
      <c r="C11" s="5"/>
      <c r="D11" s="5"/>
      <c r="E11" s="5"/>
      <c r="F11" s="5" t="s">
        <v>23</v>
      </c>
      <c r="G11" s="5"/>
      <c r="H11" s="10"/>
      <c r="I11" s="11">
        <v>35</v>
      </c>
      <c r="J11" s="5"/>
    </row>
    <row r="12" spans="2:10" x14ac:dyDescent="0.25">
      <c r="B12" s="5"/>
      <c r="C12" s="5"/>
      <c r="D12" s="5"/>
      <c r="E12" s="5"/>
      <c r="F12" s="15"/>
      <c r="G12" s="15"/>
      <c r="H12" s="11"/>
      <c r="I12" s="11"/>
      <c r="J12" s="5"/>
    </row>
    <row r="13" spans="2:10" x14ac:dyDescent="0.25">
      <c r="B13" s="5">
        <v>3</v>
      </c>
      <c r="C13" s="19"/>
      <c r="D13" s="12" t="s">
        <v>25</v>
      </c>
      <c r="E13" s="12">
        <v>1</v>
      </c>
      <c r="F13" s="12"/>
      <c r="G13" s="12"/>
      <c r="H13" s="13"/>
      <c r="I13" s="11"/>
      <c r="J13" s="12"/>
    </row>
    <row r="14" spans="2:10" x14ac:dyDescent="0.25">
      <c r="B14" s="5"/>
      <c r="C14" s="5"/>
      <c r="D14" s="5"/>
      <c r="E14" s="5"/>
      <c r="F14" s="6" t="s">
        <v>1</v>
      </c>
      <c r="G14" s="6"/>
      <c r="H14" s="10">
        <v>1.91</v>
      </c>
      <c r="I14" s="11">
        <v>1875</v>
      </c>
      <c r="J14" s="5"/>
    </row>
    <row r="15" spans="2:10" x14ac:dyDescent="0.25">
      <c r="B15" s="5"/>
      <c r="C15" s="5"/>
      <c r="D15" s="5"/>
      <c r="E15" s="5"/>
      <c r="F15" s="5" t="s">
        <v>23</v>
      </c>
      <c r="G15" s="5"/>
      <c r="H15" s="10"/>
      <c r="I15" s="11">
        <v>35</v>
      </c>
      <c r="J15" s="5"/>
    </row>
    <row r="16" spans="2:10" x14ac:dyDescent="0.25">
      <c r="B16" s="5"/>
      <c r="C16" s="5"/>
      <c r="D16" s="5"/>
      <c r="E16" s="5"/>
      <c r="F16" s="15"/>
      <c r="G16" s="15"/>
      <c r="H16" s="13"/>
      <c r="I16" s="11"/>
      <c r="J16" s="5"/>
    </row>
    <row r="17" spans="2:10" x14ac:dyDescent="0.25">
      <c r="B17" s="5">
        <v>4</v>
      </c>
      <c r="C17" s="19"/>
      <c r="D17" s="20" t="s">
        <v>3</v>
      </c>
      <c r="E17" s="20">
        <v>1</v>
      </c>
      <c r="F17" s="20"/>
      <c r="G17" s="20"/>
      <c r="H17" s="13"/>
      <c r="I17" s="11"/>
      <c r="J17" s="12"/>
    </row>
    <row r="18" spans="2:10" x14ac:dyDescent="0.25">
      <c r="B18" s="5"/>
      <c r="C18" s="5"/>
      <c r="D18" s="5"/>
      <c r="E18" s="5"/>
      <c r="F18" s="6" t="s">
        <v>2</v>
      </c>
      <c r="G18" s="6"/>
      <c r="H18" s="10">
        <v>2.0129999999999999</v>
      </c>
      <c r="I18" s="11">
        <v>1963</v>
      </c>
      <c r="J18" s="5"/>
    </row>
    <row r="19" spans="2:10" x14ac:dyDescent="0.25">
      <c r="B19" s="5"/>
      <c r="C19" s="5"/>
      <c r="D19" s="5"/>
      <c r="E19" s="5"/>
      <c r="F19" s="5" t="s">
        <v>23</v>
      </c>
      <c r="G19" s="5"/>
      <c r="H19" s="10"/>
      <c r="I19" s="11">
        <v>50</v>
      </c>
      <c r="J19" s="5"/>
    </row>
    <row r="20" spans="2:10" x14ac:dyDescent="0.25">
      <c r="B20" s="5"/>
      <c r="C20" s="5"/>
      <c r="D20" s="5"/>
      <c r="E20" s="5"/>
      <c r="F20" s="15"/>
      <c r="G20" s="15"/>
      <c r="H20" s="10"/>
      <c r="I20" s="5"/>
      <c r="J20" s="40"/>
    </row>
    <row r="21" spans="2:10" x14ac:dyDescent="0.25">
      <c r="B21" s="5">
        <v>5</v>
      </c>
      <c r="C21" s="19"/>
      <c r="D21" s="20" t="s">
        <v>26</v>
      </c>
      <c r="E21" s="20">
        <v>1</v>
      </c>
      <c r="F21" s="20"/>
      <c r="G21" s="20"/>
      <c r="H21" s="13"/>
      <c r="I21" s="11"/>
      <c r="J21" s="12"/>
    </row>
    <row r="22" spans="2:10" x14ac:dyDescent="0.25">
      <c r="B22" s="5"/>
      <c r="C22" s="5"/>
      <c r="D22" s="5"/>
      <c r="E22" s="5"/>
      <c r="F22" s="6" t="s">
        <v>2</v>
      </c>
      <c r="G22" s="6"/>
      <c r="H22" s="10">
        <v>1.962</v>
      </c>
      <c r="I22" s="11">
        <v>1912</v>
      </c>
      <c r="J22" s="5"/>
    </row>
    <row r="23" spans="2:10" x14ac:dyDescent="0.25">
      <c r="B23" s="5"/>
      <c r="C23" s="5"/>
      <c r="D23" s="5"/>
      <c r="E23" s="5"/>
      <c r="F23" s="5" t="s">
        <v>23</v>
      </c>
      <c r="G23" s="5"/>
      <c r="H23" s="10"/>
      <c r="I23" s="11">
        <v>50</v>
      </c>
      <c r="J23" s="5"/>
    </row>
    <row r="24" spans="2:10" x14ac:dyDescent="0.25">
      <c r="B24" s="5"/>
      <c r="C24" s="5"/>
      <c r="D24" s="5"/>
      <c r="E24" s="5"/>
      <c r="F24" s="15"/>
      <c r="G24" s="15"/>
      <c r="H24" s="10"/>
      <c r="I24" s="5"/>
      <c r="J24" s="40"/>
    </row>
    <row r="25" spans="2:10" x14ac:dyDescent="0.25">
      <c r="B25" s="5">
        <v>6</v>
      </c>
      <c r="C25" s="19"/>
      <c r="D25" s="20" t="s">
        <v>4</v>
      </c>
      <c r="E25" s="20">
        <v>1</v>
      </c>
      <c r="F25" s="20"/>
      <c r="G25" s="20"/>
      <c r="H25" s="13"/>
      <c r="I25" s="11"/>
      <c r="J25" s="12"/>
    </row>
    <row r="26" spans="2:10" x14ac:dyDescent="0.25">
      <c r="B26" s="5"/>
      <c r="C26" s="5"/>
      <c r="D26" s="5"/>
      <c r="E26" s="5"/>
      <c r="F26" s="6" t="s">
        <v>2</v>
      </c>
      <c r="G26" s="6"/>
      <c r="H26" s="10">
        <v>2.1</v>
      </c>
      <c r="I26" s="11">
        <f>H26*1000-35</f>
        <v>2065</v>
      </c>
      <c r="J26" s="5"/>
    </row>
    <row r="27" spans="2:10" x14ac:dyDescent="0.25">
      <c r="B27" s="5"/>
      <c r="C27" s="5"/>
      <c r="D27" s="5"/>
      <c r="E27" s="5"/>
      <c r="F27" s="5" t="s">
        <v>23</v>
      </c>
      <c r="G27" s="5"/>
      <c r="H27" s="10"/>
      <c r="I27" s="11">
        <v>35</v>
      </c>
      <c r="J27" s="5"/>
    </row>
    <row r="28" spans="2:10" x14ac:dyDescent="0.25">
      <c r="B28" s="5"/>
      <c r="C28" s="5"/>
      <c r="D28" s="5"/>
      <c r="E28" s="5"/>
      <c r="F28" s="5"/>
      <c r="G28" s="5"/>
      <c r="H28" s="10"/>
      <c r="I28" s="11"/>
      <c r="J28" s="5"/>
    </row>
    <row r="29" spans="2:10" x14ac:dyDescent="0.25">
      <c r="B29" s="30"/>
      <c r="C29" s="30"/>
      <c r="D29" s="30" t="s">
        <v>103</v>
      </c>
      <c r="E29" s="30"/>
      <c r="F29" s="30"/>
      <c r="G29" s="30"/>
      <c r="H29" s="44"/>
      <c r="I29" s="45"/>
      <c r="J29" s="30"/>
    </row>
    <row r="30" spans="2:10" x14ac:dyDescent="0.25">
      <c r="B30" s="5" t="s">
        <v>11</v>
      </c>
      <c r="C30" s="31"/>
      <c r="D30" s="16" t="s">
        <v>102</v>
      </c>
      <c r="E30" s="16" t="s">
        <v>14</v>
      </c>
      <c r="F30" s="16" t="s">
        <v>104</v>
      </c>
      <c r="G30" s="16"/>
      <c r="H30" s="16" t="s">
        <v>16</v>
      </c>
      <c r="I30" s="17" t="s">
        <v>17</v>
      </c>
      <c r="J30" s="16" t="s">
        <v>18</v>
      </c>
    </row>
    <row r="31" spans="2:10" x14ac:dyDescent="0.25">
      <c r="B31" s="5"/>
      <c r="C31" s="31"/>
      <c r="D31" s="16"/>
      <c r="E31" s="16" t="s">
        <v>63</v>
      </c>
      <c r="F31" s="16"/>
      <c r="G31" s="16"/>
      <c r="H31" s="14" t="s">
        <v>27</v>
      </c>
      <c r="I31" s="14" t="s">
        <v>27</v>
      </c>
      <c r="J31" s="16"/>
    </row>
    <row r="32" spans="2:10" ht="15" customHeight="1" x14ac:dyDescent="0.25">
      <c r="B32" s="5">
        <v>7</v>
      </c>
      <c r="C32" s="19"/>
      <c r="D32" s="20" t="s">
        <v>28</v>
      </c>
      <c r="E32" s="20">
        <v>1</v>
      </c>
      <c r="F32" s="5"/>
      <c r="G32" s="5"/>
      <c r="H32" s="10"/>
      <c r="I32" s="11"/>
      <c r="J32" s="12"/>
    </row>
    <row r="33" spans="2:10" x14ac:dyDescent="0.25">
      <c r="B33" s="5"/>
      <c r="C33" s="5"/>
      <c r="D33" s="15" t="s">
        <v>29</v>
      </c>
      <c r="E33" s="19"/>
      <c r="F33" s="12" t="s">
        <v>24</v>
      </c>
      <c r="G33" s="12"/>
      <c r="H33" s="10">
        <v>466</v>
      </c>
      <c r="I33" s="11">
        <v>456</v>
      </c>
      <c r="J33" s="19"/>
    </row>
    <row r="34" spans="2:10" x14ac:dyDescent="0.25">
      <c r="B34" s="5"/>
      <c r="C34" s="5"/>
      <c r="D34" s="5"/>
      <c r="E34" s="5"/>
      <c r="F34" s="15" t="s">
        <v>30</v>
      </c>
      <c r="G34" s="15"/>
      <c r="H34" s="5"/>
      <c r="I34" s="11">
        <v>10</v>
      </c>
      <c r="J34" s="5"/>
    </row>
    <row r="35" spans="2:10" x14ac:dyDescent="0.25">
      <c r="B35" s="5"/>
      <c r="C35" s="5"/>
      <c r="D35" s="5" t="s">
        <v>31</v>
      </c>
      <c r="E35" s="5"/>
      <c r="F35" s="15"/>
      <c r="G35" s="15"/>
      <c r="H35" s="5"/>
      <c r="I35" s="5"/>
      <c r="J35" s="40"/>
    </row>
    <row r="36" spans="2:10" x14ac:dyDescent="0.25">
      <c r="B36" s="5"/>
      <c r="C36" s="5"/>
      <c r="D36" s="5"/>
      <c r="E36" s="5"/>
      <c r="F36" s="5"/>
      <c r="G36" s="5"/>
      <c r="H36" s="5"/>
      <c r="I36" s="5"/>
      <c r="J36" s="5"/>
    </row>
    <row r="37" spans="2:10" x14ac:dyDescent="0.25">
      <c r="B37" s="5">
        <v>8</v>
      </c>
      <c r="C37" s="19"/>
      <c r="D37" s="20" t="s">
        <v>5</v>
      </c>
      <c r="E37" s="20">
        <v>1</v>
      </c>
      <c r="F37" s="5"/>
      <c r="G37" s="5"/>
      <c r="H37" s="10"/>
      <c r="I37" s="11"/>
      <c r="J37" s="12"/>
    </row>
    <row r="38" spans="2:10" x14ac:dyDescent="0.25">
      <c r="B38" s="5"/>
      <c r="C38" s="5"/>
      <c r="D38" s="15" t="s">
        <v>32</v>
      </c>
      <c r="E38" s="19"/>
      <c r="F38" s="12" t="s">
        <v>24</v>
      </c>
      <c r="G38" s="12"/>
      <c r="H38" s="10">
        <v>466</v>
      </c>
      <c r="I38" s="11">
        <v>463</v>
      </c>
      <c r="J38" s="12"/>
    </row>
    <row r="39" spans="2:10" x14ac:dyDescent="0.25">
      <c r="B39" s="5"/>
      <c r="C39" s="5"/>
      <c r="D39" s="5"/>
      <c r="E39" s="5"/>
      <c r="F39" s="15" t="s">
        <v>30</v>
      </c>
      <c r="G39" s="15"/>
      <c r="H39" s="5"/>
      <c r="I39" s="11">
        <v>3</v>
      </c>
      <c r="J39" s="5"/>
    </row>
    <row r="40" spans="2:10" x14ac:dyDescent="0.25">
      <c r="B40" s="5"/>
      <c r="C40" s="5"/>
      <c r="D40" s="5" t="s">
        <v>33</v>
      </c>
      <c r="E40" s="5"/>
      <c r="F40" s="19"/>
      <c r="G40" s="19"/>
      <c r="H40" s="5"/>
      <c r="I40" s="5"/>
      <c r="J40" s="5"/>
    </row>
    <row r="41" spans="2:10" x14ac:dyDescent="0.25">
      <c r="B41" s="5"/>
      <c r="C41" s="5"/>
      <c r="D41" s="5"/>
      <c r="E41" s="5"/>
      <c r="F41" s="19"/>
      <c r="G41" s="19"/>
      <c r="H41" s="5"/>
      <c r="I41" s="5"/>
      <c r="J41" s="5"/>
    </row>
    <row r="42" spans="2:10" x14ac:dyDescent="0.25">
      <c r="B42" s="5">
        <v>9</v>
      </c>
      <c r="C42" s="5"/>
      <c r="D42" s="15" t="s">
        <v>6</v>
      </c>
      <c r="E42" s="5">
        <v>1</v>
      </c>
      <c r="F42" s="19"/>
      <c r="G42" s="19"/>
      <c r="H42" s="5"/>
      <c r="I42" s="5"/>
      <c r="J42" s="5"/>
    </row>
    <row r="43" spans="2:10" x14ac:dyDescent="0.25">
      <c r="B43" s="5"/>
      <c r="C43" s="5"/>
      <c r="D43" s="5" t="s">
        <v>34</v>
      </c>
      <c r="E43" s="5"/>
      <c r="F43" s="20" t="s">
        <v>3</v>
      </c>
      <c r="G43" s="19"/>
      <c r="H43" s="5">
        <f>2013/4</f>
        <v>503.25</v>
      </c>
      <c r="I43" s="5">
        <f>1963/4</f>
        <v>490.75</v>
      </c>
      <c r="J43" s="5"/>
    </row>
    <row r="44" spans="2:10" x14ac:dyDescent="0.25">
      <c r="B44" s="5"/>
      <c r="C44" s="5"/>
      <c r="D44" s="5" t="s">
        <v>35</v>
      </c>
      <c r="E44" s="5"/>
      <c r="F44" s="15" t="s">
        <v>30</v>
      </c>
      <c r="G44" s="19"/>
      <c r="H44" s="5"/>
      <c r="I44" s="5">
        <f>50/4</f>
        <v>12.5</v>
      </c>
      <c r="J44" s="5"/>
    </row>
    <row r="45" spans="2:10" x14ac:dyDescent="0.25">
      <c r="B45" s="5"/>
      <c r="C45" s="5"/>
      <c r="D45" s="5"/>
      <c r="E45" s="5"/>
      <c r="F45" s="19"/>
      <c r="G45" s="19"/>
      <c r="H45" s="5"/>
      <c r="I45" s="5"/>
      <c r="J45" s="5"/>
    </row>
    <row r="46" spans="2:10" x14ac:dyDescent="0.25">
      <c r="B46" s="5">
        <v>10</v>
      </c>
      <c r="C46" s="5"/>
      <c r="D46" s="20" t="s">
        <v>7</v>
      </c>
      <c r="E46" s="5">
        <v>1</v>
      </c>
      <c r="F46" s="19"/>
      <c r="G46" s="19"/>
      <c r="H46" s="5"/>
      <c r="I46" s="5"/>
      <c r="J46" s="5"/>
    </row>
    <row r="47" spans="2:10" x14ac:dyDescent="0.25">
      <c r="B47" s="5"/>
      <c r="C47" s="5"/>
      <c r="D47" s="5" t="s">
        <v>36</v>
      </c>
      <c r="E47" s="5"/>
      <c r="F47" s="20" t="s">
        <v>26</v>
      </c>
      <c r="G47" s="19"/>
      <c r="H47" s="5">
        <v>1962</v>
      </c>
      <c r="I47" s="5">
        <v>1912</v>
      </c>
      <c r="J47" s="5"/>
    </row>
    <row r="48" spans="2:10" x14ac:dyDescent="0.25">
      <c r="B48" s="5"/>
      <c r="C48" s="5"/>
      <c r="D48" s="20" t="s">
        <v>7</v>
      </c>
      <c r="E48" s="5"/>
      <c r="F48" s="15" t="s">
        <v>30</v>
      </c>
      <c r="G48" s="19"/>
      <c r="H48" s="5"/>
      <c r="I48" s="5">
        <v>50</v>
      </c>
      <c r="J48" s="5"/>
    </row>
    <row r="49" spans="2:10" x14ac:dyDescent="0.25">
      <c r="B49" s="5"/>
      <c r="C49" s="5"/>
      <c r="D49" s="20"/>
      <c r="E49" s="5"/>
      <c r="F49" s="19"/>
      <c r="G49" s="19"/>
      <c r="H49" s="5"/>
      <c r="I49" s="5"/>
      <c r="J49" s="5"/>
    </row>
    <row r="50" spans="2:10" x14ac:dyDescent="0.25">
      <c r="B50" s="5">
        <v>11</v>
      </c>
      <c r="C50" s="5"/>
      <c r="D50" s="20" t="s">
        <v>8</v>
      </c>
      <c r="E50" s="5">
        <v>1</v>
      </c>
      <c r="F50" s="19"/>
      <c r="G50" s="19"/>
      <c r="H50" s="5"/>
      <c r="I50" s="5"/>
      <c r="J50" s="5"/>
    </row>
    <row r="51" spans="2:10" x14ac:dyDescent="0.25">
      <c r="B51" s="5"/>
      <c r="C51" s="5"/>
      <c r="D51" s="5" t="s">
        <v>36</v>
      </c>
      <c r="E51" s="5"/>
      <c r="F51" s="20" t="s">
        <v>4</v>
      </c>
      <c r="G51" s="19"/>
      <c r="H51" s="5">
        <f>2100-35</f>
        <v>2065</v>
      </c>
      <c r="I51" s="5">
        <v>2055</v>
      </c>
      <c r="J51" s="5"/>
    </row>
    <row r="52" spans="2:10" x14ac:dyDescent="0.25">
      <c r="B52" s="5"/>
      <c r="C52" s="5"/>
      <c r="D52" s="20" t="s">
        <v>37</v>
      </c>
      <c r="E52" s="5"/>
      <c r="F52" s="19" t="s">
        <v>38</v>
      </c>
      <c r="G52" s="19"/>
      <c r="H52" s="5"/>
      <c r="I52" s="5">
        <v>10</v>
      </c>
      <c r="J52" s="5"/>
    </row>
    <row r="53" spans="2:10" x14ac:dyDescent="0.25">
      <c r="B53" s="5"/>
      <c r="C53" s="5"/>
      <c r="D53" s="5"/>
      <c r="E53" s="5"/>
      <c r="F53" s="19"/>
      <c r="G53" s="19"/>
      <c r="H53" s="5"/>
      <c r="I53" s="5"/>
      <c r="J53" s="5"/>
    </row>
    <row r="54" spans="2:10" x14ac:dyDescent="0.25">
      <c r="B54" s="5"/>
      <c r="C54" s="5"/>
      <c r="D54" s="5"/>
      <c r="E54" s="5"/>
      <c r="F54" s="15"/>
      <c r="G54" s="15"/>
      <c r="H54" s="5"/>
      <c r="I54" s="5"/>
      <c r="J54" s="5"/>
    </row>
    <row r="55" spans="2:10" x14ac:dyDescent="0.25">
      <c r="B55" s="5"/>
      <c r="C55" s="5"/>
      <c r="D55" s="5"/>
      <c r="E55" s="5"/>
      <c r="F55" s="15"/>
      <c r="G55" s="15"/>
      <c r="H55" s="5"/>
      <c r="I55" s="5"/>
      <c r="J55" s="5"/>
    </row>
    <row r="56" spans="2:10" x14ac:dyDescent="0.25">
      <c r="B56" s="30"/>
      <c r="C56" s="30"/>
      <c r="D56" s="30" t="s">
        <v>39</v>
      </c>
      <c r="E56" s="30"/>
      <c r="F56" s="30"/>
      <c r="G56" s="30"/>
      <c r="H56" s="30"/>
      <c r="I56" s="30"/>
      <c r="J56" s="30"/>
    </row>
    <row r="57" spans="2:10" x14ac:dyDescent="0.25">
      <c r="B57" s="30"/>
      <c r="C57" s="30"/>
      <c r="D57" s="30"/>
      <c r="E57" s="30"/>
      <c r="F57" s="30"/>
      <c r="G57" s="30"/>
      <c r="H57" s="30"/>
      <c r="I57" s="30"/>
      <c r="J57" s="30"/>
    </row>
    <row r="58" spans="2:10" x14ac:dyDescent="0.25">
      <c r="B58" s="5"/>
      <c r="C58" s="5"/>
      <c r="D58" s="5" t="s">
        <v>102</v>
      </c>
      <c r="E58" s="5" t="s">
        <v>14</v>
      </c>
      <c r="F58" s="5" t="s">
        <v>104</v>
      </c>
      <c r="G58" s="5" t="s">
        <v>14</v>
      </c>
      <c r="H58" s="5" t="s">
        <v>41</v>
      </c>
      <c r="I58" s="5" t="s">
        <v>42</v>
      </c>
      <c r="J58" s="5"/>
    </row>
    <row r="59" spans="2:10" x14ac:dyDescent="0.25">
      <c r="B59" s="5"/>
      <c r="C59" s="5"/>
      <c r="D59" s="5"/>
      <c r="E59" s="5" t="s">
        <v>63</v>
      </c>
      <c r="F59" s="5"/>
      <c r="G59" s="5" t="s">
        <v>63</v>
      </c>
      <c r="H59" s="5"/>
      <c r="I59" s="5"/>
      <c r="J59" s="5"/>
    </row>
    <row r="60" spans="2:10" x14ac:dyDescent="0.25">
      <c r="B60" s="5">
        <v>12</v>
      </c>
      <c r="C60" s="5">
        <v>1</v>
      </c>
      <c r="D60" s="12" t="s">
        <v>9</v>
      </c>
      <c r="E60" s="12">
        <v>1</v>
      </c>
      <c r="F60" s="5"/>
      <c r="G60" s="5"/>
      <c r="H60" s="5"/>
      <c r="I60" s="5"/>
      <c r="J60" s="12"/>
    </row>
    <row r="61" spans="2:10" x14ac:dyDescent="0.25">
      <c r="B61" s="5"/>
      <c r="C61" s="5"/>
      <c r="D61" s="12"/>
      <c r="E61" s="12"/>
      <c r="F61" s="12" t="s">
        <v>22</v>
      </c>
      <c r="G61" s="5">
        <v>1</v>
      </c>
      <c r="H61" s="11">
        <v>3445</v>
      </c>
      <c r="I61" s="11">
        <v>3445</v>
      </c>
      <c r="J61" s="12"/>
    </row>
    <row r="62" spans="2:10" x14ac:dyDescent="0.25">
      <c r="B62" s="5"/>
      <c r="C62" s="5"/>
      <c r="D62" s="12"/>
      <c r="E62" s="12"/>
      <c r="F62" s="20" t="s">
        <v>43</v>
      </c>
      <c r="G62" s="5">
        <v>20</v>
      </c>
      <c r="H62" s="11">
        <v>9260</v>
      </c>
      <c r="I62" s="11">
        <v>9260</v>
      </c>
      <c r="J62" s="12"/>
    </row>
    <row r="63" spans="2:10" x14ac:dyDescent="0.25">
      <c r="B63" s="5"/>
      <c r="C63" s="5"/>
      <c r="D63" s="12"/>
      <c r="E63" s="12"/>
      <c r="F63" s="12" t="s">
        <v>25</v>
      </c>
      <c r="G63" s="5">
        <v>5</v>
      </c>
      <c r="H63" s="41">
        <v>9375</v>
      </c>
      <c r="I63" s="41">
        <f>9375-60</f>
        <v>9315</v>
      </c>
      <c r="J63" s="12"/>
    </row>
    <row r="64" spans="2:10" x14ac:dyDescent="0.25">
      <c r="B64" s="5"/>
      <c r="C64" s="5"/>
      <c r="D64" s="42"/>
      <c r="E64" s="42"/>
      <c r="F64" s="20" t="s">
        <v>44</v>
      </c>
      <c r="G64" s="5">
        <v>1</v>
      </c>
      <c r="H64" s="5"/>
      <c r="I64" s="41"/>
      <c r="J64" s="20" t="s">
        <v>105</v>
      </c>
    </row>
    <row r="65" spans="2:10" x14ac:dyDescent="0.25">
      <c r="B65" s="5"/>
      <c r="C65" s="5"/>
      <c r="D65" s="20"/>
      <c r="E65" s="20"/>
      <c r="F65" s="20"/>
      <c r="G65" s="20"/>
      <c r="H65" s="5"/>
      <c r="I65" s="41"/>
      <c r="J65" s="12"/>
    </row>
    <row r="66" spans="2:10" x14ac:dyDescent="0.25">
      <c r="B66" s="5"/>
      <c r="C66" s="5"/>
      <c r="D66" s="20"/>
      <c r="E66" s="20"/>
      <c r="F66" s="20"/>
      <c r="G66" s="20"/>
      <c r="H66" s="5"/>
      <c r="I66" s="41"/>
      <c r="J66" s="12"/>
    </row>
    <row r="67" spans="2:10" x14ac:dyDescent="0.25">
      <c r="B67" s="5">
        <v>13</v>
      </c>
      <c r="C67" s="5">
        <v>1</v>
      </c>
      <c r="D67" s="12" t="s">
        <v>10</v>
      </c>
      <c r="E67" s="12">
        <v>1</v>
      </c>
      <c r="F67" s="5"/>
      <c r="G67" s="5"/>
      <c r="H67" s="5"/>
      <c r="I67" s="5"/>
      <c r="J67" s="12"/>
    </row>
    <row r="68" spans="2:10" x14ac:dyDescent="0.25">
      <c r="B68" s="5"/>
      <c r="C68" s="5"/>
      <c r="D68" s="12"/>
      <c r="E68" s="12"/>
      <c r="F68" s="12" t="s">
        <v>22</v>
      </c>
      <c r="G68" s="5">
        <v>1</v>
      </c>
      <c r="H68" s="11">
        <v>3445</v>
      </c>
      <c r="I68" s="11">
        <v>3445</v>
      </c>
      <c r="J68" s="12"/>
    </row>
    <row r="69" spans="2:10" x14ac:dyDescent="0.25">
      <c r="B69" s="5"/>
      <c r="C69" s="5"/>
      <c r="D69" s="12"/>
      <c r="E69" s="12"/>
      <c r="F69" s="20" t="s">
        <v>43</v>
      </c>
      <c r="G69" s="5">
        <v>20</v>
      </c>
      <c r="H69" s="41">
        <v>9120</v>
      </c>
      <c r="I69" s="41">
        <v>9120</v>
      </c>
      <c r="J69" s="12"/>
    </row>
    <row r="70" spans="2:10" x14ac:dyDescent="0.25">
      <c r="B70" s="5"/>
      <c r="C70" s="5"/>
      <c r="D70" s="12"/>
      <c r="E70" s="12"/>
      <c r="F70" s="20" t="s">
        <v>45</v>
      </c>
      <c r="G70" s="5">
        <v>20</v>
      </c>
      <c r="H70" s="41">
        <v>9120</v>
      </c>
      <c r="I70" s="41">
        <v>9120</v>
      </c>
      <c r="J70" s="12"/>
    </row>
    <row r="71" spans="2:10" x14ac:dyDescent="0.25">
      <c r="B71" s="5"/>
      <c r="C71" s="5"/>
      <c r="D71" s="12"/>
      <c r="E71" s="12"/>
      <c r="F71" s="12" t="s">
        <v>25</v>
      </c>
      <c r="G71" s="5">
        <v>5</v>
      </c>
      <c r="H71" s="41">
        <v>9375</v>
      </c>
      <c r="I71" s="41">
        <f>9375-60</f>
        <v>9315</v>
      </c>
      <c r="J71" s="12"/>
    </row>
    <row r="72" spans="2:10" x14ac:dyDescent="0.25">
      <c r="B72" s="5"/>
      <c r="C72" s="5"/>
      <c r="D72" s="42"/>
      <c r="E72" s="42"/>
      <c r="F72" s="20" t="s">
        <v>44</v>
      </c>
      <c r="G72" s="5">
        <v>1</v>
      </c>
      <c r="H72" s="5"/>
      <c r="I72" s="41"/>
      <c r="J72" s="20" t="s">
        <v>105</v>
      </c>
    </row>
    <row r="73" spans="2:10" x14ac:dyDescent="0.25">
      <c r="B73" s="5"/>
      <c r="C73" s="5"/>
      <c r="D73" s="20"/>
      <c r="E73" s="20"/>
      <c r="F73" s="20"/>
      <c r="G73" s="20"/>
      <c r="H73" s="5"/>
      <c r="I73" s="41"/>
      <c r="J73" s="12"/>
    </row>
    <row r="74" spans="2:10" x14ac:dyDescent="0.25">
      <c r="B74" s="5"/>
      <c r="C74" s="5"/>
      <c r="D74" s="20"/>
      <c r="E74" s="20"/>
      <c r="F74" s="20"/>
      <c r="G74" s="20"/>
      <c r="H74" s="5"/>
      <c r="I74" s="41"/>
      <c r="J74" s="12"/>
    </row>
  </sheetData>
  <pageMargins left="0.39370078740157483" right="0.19685039370078741" top="0.78740157480314965" bottom="0.39370078740157483" header="0.31496062992125984" footer="0.31496062992125984"/>
  <pageSetup paperSize="9" scale="70" fitToHeight="2" orientation="landscape" r:id="rId1"/>
  <headerFooter>
    <oddFooter>&amp;R
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opLeftCell="A14" zoomScale="85" zoomScaleNormal="85" workbookViewId="0">
      <selection activeCell="F24" sqref="F24"/>
    </sheetView>
  </sheetViews>
  <sheetFormatPr defaultRowHeight="15" x14ac:dyDescent="0.25"/>
  <cols>
    <col min="1" max="1" width="4.85546875" customWidth="1"/>
    <col min="2" max="2" width="33" customWidth="1"/>
    <col min="3" max="3" width="5.42578125" customWidth="1"/>
    <col min="4" max="4" width="4.85546875" bestFit="1" customWidth="1"/>
    <col min="5" max="5" width="9.140625" style="2"/>
    <col min="6" max="6" width="53.28515625" bestFit="1" customWidth="1"/>
    <col min="7" max="7" width="4.85546875" customWidth="1"/>
    <col min="8" max="8" width="22.42578125" customWidth="1"/>
  </cols>
  <sheetData>
    <row r="1" spans="1:8" hidden="1" x14ac:dyDescent="0.25">
      <c r="B1" s="3" t="s">
        <v>62</v>
      </c>
    </row>
    <row r="3" spans="1:8" x14ac:dyDescent="0.25">
      <c r="A3" s="59"/>
      <c r="B3" s="59"/>
      <c r="C3" s="59"/>
      <c r="D3" s="59"/>
      <c r="E3" s="59"/>
      <c r="F3" s="59"/>
      <c r="G3" s="59"/>
      <c r="H3" s="1"/>
    </row>
    <row r="4" spans="1:8" ht="20.25" customHeight="1" x14ac:dyDescent="0.25">
      <c r="A4" s="31" t="s">
        <v>46</v>
      </c>
      <c r="B4" s="31" t="s">
        <v>108</v>
      </c>
      <c r="C4" s="31" t="s">
        <v>48</v>
      </c>
      <c r="D4" s="31" t="s">
        <v>12</v>
      </c>
      <c r="E4" s="24" t="s">
        <v>11</v>
      </c>
      <c r="F4" s="24" t="s">
        <v>107</v>
      </c>
      <c r="G4" s="24" t="s">
        <v>48</v>
      </c>
      <c r="H4" s="5" t="s">
        <v>52</v>
      </c>
    </row>
    <row r="5" spans="1:8" ht="20.25" customHeight="1" x14ac:dyDescent="0.25">
      <c r="A5" s="15"/>
      <c r="B5" s="15"/>
      <c r="C5" s="15"/>
      <c r="D5" s="15"/>
      <c r="E5" s="32"/>
      <c r="F5" s="15"/>
      <c r="G5" s="15" t="s">
        <v>63</v>
      </c>
      <c r="H5" s="15"/>
    </row>
    <row r="6" spans="1:8" x14ac:dyDescent="0.25">
      <c r="A6" s="15"/>
      <c r="B6" s="15"/>
      <c r="C6" s="15"/>
      <c r="D6" s="15"/>
      <c r="E6" s="32"/>
      <c r="F6" s="15"/>
      <c r="G6" s="15"/>
      <c r="H6" s="15"/>
    </row>
    <row r="7" spans="1:8" x14ac:dyDescent="0.25">
      <c r="A7" s="15">
        <v>1</v>
      </c>
      <c r="B7" s="15" t="s">
        <v>64</v>
      </c>
      <c r="C7" s="15">
        <v>1</v>
      </c>
      <c r="D7" s="15" t="s">
        <v>63</v>
      </c>
      <c r="E7" s="32">
        <v>1</v>
      </c>
      <c r="F7" s="15" t="s">
        <v>65</v>
      </c>
      <c r="G7" s="15">
        <v>1</v>
      </c>
      <c r="H7" s="15"/>
    </row>
    <row r="8" spans="1:8" x14ac:dyDescent="0.25">
      <c r="A8" s="15"/>
      <c r="B8" s="33" t="s">
        <v>66</v>
      </c>
      <c r="C8" s="15"/>
      <c r="D8" s="15"/>
      <c r="E8" s="32">
        <v>2</v>
      </c>
      <c r="F8" s="15" t="s">
        <v>67</v>
      </c>
      <c r="G8" s="15">
        <v>1</v>
      </c>
      <c r="H8" s="15"/>
    </row>
    <row r="9" spans="1:8" x14ac:dyDescent="0.25">
      <c r="A9" s="15"/>
      <c r="B9" s="15"/>
      <c r="C9" s="15"/>
      <c r="D9" s="15"/>
      <c r="E9" s="32">
        <v>3</v>
      </c>
      <c r="F9" s="15" t="s">
        <v>68</v>
      </c>
      <c r="G9" s="15">
        <v>4</v>
      </c>
      <c r="H9" s="15"/>
    </row>
    <row r="10" spans="1:8" x14ac:dyDescent="0.25">
      <c r="A10" s="15"/>
      <c r="B10" s="15"/>
      <c r="C10" s="15"/>
      <c r="D10" s="15"/>
      <c r="E10" s="32">
        <v>4</v>
      </c>
      <c r="F10" s="15" t="s">
        <v>69</v>
      </c>
      <c r="G10" s="15">
        <v>2</v>
      </c>
      <c r="H10" s="15"/>
    </row>
    <row r="11" spans="1:8" x14ac:dyDescent="0.25">
      <c r="A11" s="15"/>
      <c r="B11" s="15"/>
      <c r="C11" s="15"/>
      <c r="D11" s="15"/>
      <c r="E11" s="32">
        <v>5</v>
      </c>
      <c r="F11" s="15" t="s">
        <v>70</v>
      </c>
      <c r="G11" s="15">
        <v>1</v>
      </c>
      <c r="H11" s="15"/>
    </row>
    <row r="12" spans="1:8" x14ac:dyDescent="0.25">
      <c r="A12" s="15"/>
      <c r="B12" s="15"/>
      <c r="C12" s="15"/>
      <c r="D12" s="15"/>
      <c r="E12" s="32">
        <v>6</v>
      </c>
      <c r="F12" s="15" t="s">
        <v>71</v>
      </c>
      <c r="G12" s="15">
        <v>1</v>
      </c>
      <c r="H12" s="15"/>
    </row>
    <row r="13" spans="1:8" x14ac:dyDescent="0.25">
      <c r="A13" s="15"/>
      <c r="B13" s="15"/>
      <c r="C13" s="15"/>
      <c r="D13" s="15"/>
      <c r="E13" s="32">
        <v>7</v>
      </c>
      <c r="F13" s="15" t="s">
        <v>72</v>
      </c>
      <c r="G13" s="15">
        <v>1</v>
      </c>
      <c r="H13" s="15"/>
    </row>
    <row r="14" spans="1:8" x14ac:dyDescent="0.25">
      <c r="A14" s="15"/>
      <c r="B14" s="15"/>
      <c r="C14" s="15"/>
      <c r="D14" s="15"/>
      <c r="E14" s="32">
        <v>8</v>
      </c>
      <c r="F14" s="1" t="s">
        <v>73</v>
      </c>
      <c r="G14" s="15">
        <v>12</v>
      </c>
      <c r="H14" s="15"/>
    </row>
    <row r="15" spans="1:8" x14ac:dyDescent="0.25">
      <c r="A15" s="15"/>
      <c r="B15" s="15"/>
      <c r="C15" s="15"/>
      <c r="D15" s="15"/>
      <c r="E15" s="32">
        <v>9</v>
      </c>
      <c r="F15" s="1" t="s">
        <v>74</v>
      </c>
      <c r="G15" s="15">
        <v>3</v>
      </c>
      <c r="H15" s="15"/>
    </row>
    <row r="16" spans="1:8" x14ac:dyDescent="0.25">
      <c r="A16" s="15"/>
      <c r="B16" s="15"/>
      <c r="C16" s="15"/>
      <c r="D16" s="15"/>
      <c r="E16" s="32"/>
      <c r="F16" s="15"/>
      <c r="G16" s="15"/>
      <c r="H16" s="15"/>
    </row>
    <row r="17" spans="1:8" x14ac:dyDescent="0.25">
      <c r="A17" s="15"/>
      <c r="B17" s="15"/>
      <c r="C17" s="15"/>
      <c r="D17" s="15"/>
      <c r="E17" s="32"/>
      <c r="F17" s="15"/>
      <c r="G17" s="15"/>
      <c r="H17" s="15"/>
    </row>
    <row r="18" spans="1:8" x14ac:dyDescent="0.25">
      <c r="A18" s="15">
        <v>2</v>
      </c>
      <c r="B18" s="15" t="s">
        <v>75</v>
      </c>
      <c r="C18" s="15">
        <v>1</v>
      </c>
      <c r="D18" s="15" t="s">
        <v>63</v>
      </c>
      <c r="E18" s="32">
        <v>1</v>
      </c>
      <c r="F18" s="15" t="s">
        <v>65</v>
      </c>
      <c r="G18" s="15">
        <v>1</v>
      </c>
      <c r="H18" s="15"/>
    </row>
    <row r="19" spans="1:8" x14ac:dyDescent="0.25">
      <c r="A19" s="15"/>
      <c r="B19" s="34" t="s">
        <v>76</v>
      </c>
      <c r="C19" s="15"/>
      <c r="D19" s="15"/>
      <c r="E19" s="32">
        <f>E18+1</f>
        <v>2</v>
      </c>
      <c r="F19" s="15" t="s">
        <v>67</v>
      </c>
      <c r="G19" s="15">
        <v>1</v>
      </c>
      <c r="H19" s="15"/>
    </row>
    <row r="20" spans="1:8" x14ac:dyDescent="0.25">
      <c r="A20" s="15"/>
      <c r="B20" s="15"/>
      <c r="C20" s="15"/>
      <c r="D20" s="15"/>
      <c r="E20" s="32">
        <f t="shared" ref="E20:E26" si="0">E19+1</f>
        <v>3</v>
      </c>
      <c r="F20" s="15" t="s">
        <v>68</v>
      </c>
      <c r="G20" s="15">
        <v>4</v>
      </c>
      <c r="H20" s="15"/>
    </row>
    <row r="21" spans="1:8" x14ac:dyDescent="0.25">
      <c r="A21" s="15"/>
      <c r="B21" s="15"/>
      <c r="C21" s="15"/>
      <c r="D21" s="15"/>
      <c r="E21" s="32">
        <f t="shared" si="0"/>
        <v>4</v>
      </c>
      <c r="F21" s="15" t="s">
        <v>69</v>
      </c>
      <c r="G21" s="15">
        <v>2</v>
      </c>
      <c r="H21" s="15"/>
    </row>
    <row r="22" spans="1:8" x14ac:dyDescent="0.25">
      <c r="A22" s="15"/>
      <c r="B22" s="15"/>
      <c r="C22" s="15"/>
      <c r="D22" s="15"/>
      <c r="E22" s="32">
        <f t="shared" si="0"/>
        <v>5</v>
      </c>
      <c r="F22" s="15" t="s">
        <v>70</v>
      </c>
      <c r="G22" s="15">
        <v>1</v>
      </c>
      <c r="H22" s="15"/>
    </row>
    <row r="23" spans="1:8" x14ac:dyDescent="0.25">
      <c r="A23" s="15"/>
      <c r="B23" s="15"/>
      <c r="C23" s="15"/>
      <c r="D23" s="15"/>
      <c r="E23" s="32">
        <f t="shared" si="0"/>
        <v>6</v>
      </c>
      <c r="F23" s="15" t="s">
        <v>71</v>
      </c>
      <c r="G23" s="15">
        <v>1</v>
      </c>
      <c r="H23" s="15"/>
    </row>
    <row r="24" spans="1:8" x14ac:dyDescent="0.25">
      <c r="A24" s="15"/>
      <c r="B24" s="15"/>
      <c r="C24" s="15"/>
      <c r="D24" s="15"/>
      <c r="E24" s="32">
        <f t="shared" si="0"/>
        <v>7</v>
      </c>
      <c r="F24" s="15" t="s">
        <v>77</v>
      </c>
      <c r="G24" s="15">
        <v>1</v>
      </c>
      <c r="H24" s="15"/>
    </row>
    <row r="25" spans="1:8" x14ac:dyDescent="0.25">
      <c r="A25" s="15"/>
      <c r="B25" s="15"/>
      <c r="C25" s="15"/>
      <c r="D25" s="15"/>
      <c r="E25" s="32">
        <f t="shared" si="0"/>
        <v>8</v>
      </c>
      <c r="F25" s="1" t="s">
        <v>73</v>
      </c>
      <c r="G25" s="15">
        <v>14</v>
      </c>
      <c r="H25" s="15"/>
    </row>
    <row r="26" spans="1:8" x14ac:dyDescent="0.25">
      <c r="A26" s="15"/>
      <c r="B26" s="15"/>
      <c r="C26" s="15"/>
      <c r="D26" s="15"/>
      <c r="E26" s="32">
        <f t="shared" si="0"/>
        <v>9</v>
      </c>
      <c r="F26" s="1" t="s">
        <v>74</v>
      </c>
      <c r="G26" s="15">
        <v>3</v>
      </c>
      <c r="H26" s="15"/>
    </row>
    <row r="27" spans="1:8" x14ac:dyDescent="0.25">
      <c r="A27" s="15"/>
      <c r="B27" s="15"/>
      <c r="C27" s="15"/>
      <c r="D27" s="15"/>
      <c r="E27" s="32"/>
      <c r="F27" s="15"/>
      <c r="G27" s="15"/>
      <c r="H27" s="15"/>
    </row>
    <row r="28" spans="1:8" x14ac:dyDescent="0.25">
      <c r="A28" s="15">
        <v>3</v>
      </c>
      <c r="B28" s="15" t="s">
        <v>78</v>
      </c>
      <c r="C28" s="15">
        <v>1</v>
      </c>
      <c r="D28" s="15" t="s">
        <v>63</v>
      </c>
      <c r="E28" s="32">
        <v>1</v>
      </c>
      <c r="F28" s="15" t="s">
        <v>65</v>
      </c>
      <c r="G28" s="15">
        <v>1</v>
      </c>
      <c r="H28" s="35"/>
    </row>
    <row r="29" spans="1:8" x14ac:dyDescent="0.25">
      <c r="A29" s="15"/>
      <c r="B29" s="15" t="s">
        <v>79</v>
      </c>
      <c r="C29" s="15"/>
      <c r="D29" s="15"/>
      <c r="E29" s="32">
        <f>E28+1</f>
        <v>2</v>
      </c>
      <c r="F29" s="15" t="s">
        <v>67</v>
      </c>
      <c r="G29" s="15">
        <v>1</v>
      </c>
      <c r="H29" s="15"/>
    </row>
    <row r="30" spans="1:8" x14ac:dyDescent="0.25">
      <c r="A30" s="15"/>
      <c r="B30" s="15"/>
      <c r="C30" s="15"/>
      <c r="D30" s="15"/>
      <c r="E30" s="32">
        <f t="shared" ref="E30:E35" si="1">E29+1</f>
        <v>3</v>
      </c>
      <c r="F30" s="15" t="s">
        <v>72</v>
      </c>
      <c r="G30" s="15">
        <v>1</v>
      </c>
      <c r="H30" s="15"/>
    </row>
    <row r="31" spans="1:8" x14ac:dyDescent="0.25">
      <c r="A31" s="15"/>
      <c r="B31" s="15"/>
      <c r="C31" s="15"/>
      <c r="D31" s="15"/>
      <c r="E31" s="32">
        <f t="shared" si="1"/>
        <v>4</v>
      </c>
      <c r="F31" s="15" t="s">
        <v>68</v>
      </c>
      <c r="G31" s="15">
        <v>4</v>
      </c>
      <c r="H31" s="15"/>
    </row>
    <row r="32" spans="1:8" x14ac:dyDescent="0.25">
      <c r="A32" s="15"/>
      <c r="B32" s="15"/>
      <c r="C32" s="15"/>
      <c r="D32" s="15"/>
      <c r="E32" s="32">
        <f t="shared" si="1"/>
        <v>5</v>
      </c>
      <c r="F32" s="15" t="s">
        <v>70</v>
      </c>
      <c r="G32" s="15">
        <v>1</v>
      </c>
      <c r="H32" s="15"/>
    </row>
    <row r="33" spans="1:8" x14ac:dyDescent="0.25">
      <c r="A33" s="15"/>
      <c r="B33" s="15"/>
      <c r="C33" s="15"/>
      <c r="D33" s="15"/>
      <c r="E33" s="32">
        <f t="shared" si="1"/>
        <v>6</v>
      </c>
      <c r="F33" s="15" t="s">
        <v>80</v>
      </c>
      <c r="G33" s="15">
        <v>7</v>
      </c>
      <c r="H33" s="15"/>
    </row>
    <row r="34" spans="1:8" x14ac:dyDescent="0.25">
      <c r="A34" s="15"/>
      <c r="B34" s="15"/>
      <c r="C34" s="15"/>
      <c r="D34" s="15"/>
      <c r="E34" s="32">
        <f t="shared" si="1"/>
        <v>7</v>
      </c>
      <c r="F34" s="15" t="s">
        <v>81</v>
      </c>
      <c r="G34" s="15">
        <v>2</v>
      </c>
      <c r="H34" s="15"/>
    </row>
    <row r="35" spans="1:8" x14ac:dyDescent="0.25">
      <c r="A35" s="15"/>
      <c r="B35" s="15"/>
      <c r="C35" s="15"/>
      <c r="D35" s="15"/>
      <c r="E35" s="32">
        <f t="shared" si="1"/>
        <v>8</v>
      </c>
      <c r="F35" s="1" t="s">
        <v>82</v>
      </c>
      <c r="G35" s="15">
        <v>3</v>
      </c>
      <c r="H35" s="15"/>
    </row>
    <row r="36" spans="1:8" x14ac:dyDescent="0.25">
      <c r="A36" s="18"/>
      <c r="B36" s="18"/>
      <c r="C36" s="18"/>
      <c r="D36" s="18"/>
      <c r="E36" s="36">
        <v>9</v>
      </c>
      <c r="F36" s="18" t="s">
        <v>83</v>
      </c>
      <c r="G36" s="18">
        <v>1</v>
      </c>
      <c r="H36" s="18"/>
    </row>
    <row r="37" spans="1:8" x14ac:dyDescent="0.25">
      <c r="A37" s="18"/>
      <c r="B37" s="18"/>
      <c r="C37" s="18"/>
      <c r="D37" s="18"/>
      <c r="E37" s="36"/>
      <c r="F37" s="18"/>
      <c r="G37" s="18"/>
      <c r="H37" s="18"/>
    </row>
    <row r="38" spans="1:8" x14ac:dyDescent="0.25">
      <c r="A38" s="15">
        <v>4</v>
      </c>
      <c r="B38" s="15" t="s">
        <v>84</v>
      </c>
      <c r="C38" s="15">
        <v>1</v>
      </c>
      <c r="D38" s="15" t="s">
        <v>63</v>
      </c>
      <c r="E38" s="32">
        <v>1</v>
      </c>
      <c r="F38" s="15" t="s">
        <v>85</v>
      </c>
      <c r="G38" s="15">
        <v>7</v>
      </c>
      <c r="H38" s="15"/>
    </row>
    <row r="39" spans="1:8" x14ac:dyDescent="0.25">
      <c r="A39" s="15"/>
      <c r="B39" s="33" t="s">
        <v>86</v>
      </c>
      <c r="C39" s="15"/>
      <c r="D39" s="15"/>
      <c r="E39" s="32">
        <v>2</v>
      </c>
      <c r="F39" s="15" t="s">
        <v>87</v>
      </c>
      <c r="G39" s="15">
        <v>4</v>
      </c>
      <c r="H39" s="15"/>
    </row>
    <row r="40" spans="1:8" x14ac:dyDescent="0.25">
      <c r="A40" s="15"/>
      <c r="B40" s="15"/>
      <c r="C40" s="15"/>
      <c r="D40" s="15"/>
      <c r="E40" s="32">
        <v>3</v>
      </c>
      <c r="F40" s="5" t="s">
        <v>88</v>
      </c>
      <c r="G40" s="15">
        <v>2</v>
      </c>
      <c r="H40" s="15"/>
    </row>
    <row r="41" spans="1:8" x14ac:dyDescent="0.25">
      <c r="A41" s="15"/>
      <c r="B41" s="15"/>
      <c r="C41" s="15"/>
      <c r="D41" s="15"/>
      <c r="E41" s="32">
        <v>4</v>
      </c>
      <c r="F41" s="37" t="s">
        <v>89</v>
      </c>
      <c r="G41" s="15">
        <v>1</v>
      </c>
      <c r="H41" s="15"/>
    </row>
    <row r="42" spans="1:8" x14ac:dyDescent="0.25">
      <c r="A42" s="15"/>
      <c r="B42" s="15"/>
      <c r="C42" s="15"/>
      <c r="D42" s="15"/>
      <c r="E42" s="32"/>
      <c r="F42" s="15"/>
      <c r="G42" s="15"/>
      <c r="H42" s="15"/>
    </row>
    <row r="43" spans="1:8" x14ac:dyDescent="0.25">
      <c r="A43" s="15">
        <v>5</v>
      </c>
      <c r="B43" s="15" t="s">
        <v>90</v>
      </c>
      <c r="C43" s="15">
        <v>1</v>
      </c>
      <c r="D43" s="15" t="s">
        <v>63</v>
      </c>
      <c r="E43" s="32">
        <v>1</v>
      </c>
      <c r="F43" s="5" t="s">
        <v>88</v>
      </c>
      <c r="G43" s="15">
        <v>2</v>
      </c>
      <c r="H43" s="15"/>
    </row>
    <row r="44" spans="1:8" x14ac:dyDescent="0.25">
      <c r="A44" s="15"/>
      <c r="B44" s="33" t="s">
        <v>91</v>
      </c>
      <c r="C44" s="15"/>
      <c r="D44" s="15"/>
      <c r="E44" s="32">
        <v>2</v>
      </c>
      <c r="F44" s="15" t="s">
        <v>87</v>
      </c>
      <c r="G44" s="15">
        <v>4</v>
      </c>
      <c r="H44" s="15"/>
    </row>
    <row r="45" spans="1:8" x14ac:dyDescent="0.25">
      <c r="A45" s="15"/>
      <c r="B45" s="15"/>
      <c r="C45" s="15"/>
      <c r="D45" s="15"/>
      <c r="E45" s="32">
        <v>3</v>
      </c>
      <c r="F45" s="15" t="s">
        <v>92</v>
      </c>
      <c r="G45" s="15">
        <v>7</v>
      </c>
      <c r="H45" s="15"/>
    </row>
    <row r="46" spans="1:8" x14ac:dyDescent="0.25">
      <c r="A46" s="15"/>
      <c r="B46" s="15"/>
      <c r="C46" s="15"/>
      <c r="D46" s="15"/>
      <c r="E46" s="32">
        <v>4</v>
      </c>
      <c r="F46" s="38" t="s">
        <v>93</v>
      </c>
      <c r="G46" s="15">
        <v>1</v>
      </c>
      <c r="H46" s="15"/>
    </row>
    <row r="47" spans="1:8" x14ac:dyDescent="0.25">
      <c r="A47" s="15"/>
      <c r="B47" s="15"/>
      <c r="C47" s="15"/>
      <c r="D47" s="15"/>
      <c r="E47" s="32"/>
      <c r="F47" s="15"/>
      <c r="G47" s="15"/>
      <c r="H47" s="15"/>
    </row>
    <row r="48" spans="1:8" x14ac:dyDescent="0.25">
      <c r="A48" s="15">
        <v>6</v>
      </c>
      <c r="B48" s="15" t="s">
        <v>94</v>
      </c>
      <c r="C48" s="15">
        <v>1</v>
      </c>
      <c r="D48" s="15" t="s">
        <v>63</v>
      </c>
      <c r="E48" s="32">
        <v>1</v>
      </c>
      <c r="F48" s="15" t="s">
        <v>95</v>
      </c>
      <c r="G48" s="15">
        <v>1</v>
      </c>
      <c r="H48" s="15"/>
    </row>
    <row r="49" spans="1:8" x14ac:dyDescent="0.25">
      <c r="A49" s="15"/>
      <c r="B49" s="33" t="s">
        <v>96</v>
      </c>
      <c r="C49" s="15"/>
      <c r="D49" s="15"/>
      <c r="E49" s="32">
        <v>2</v>
      </c>
      <c r="F49" s="15" t="s">
        <v>97</v>
      </c>
      <c r="G49" s="15">
        <v>3</v>
      </c>
      <c r="H49" s="15"/>
    </row>
    <row r="50" spans="1:8" x14ac:dyDescent="0.25">
      <c r="A50" s="15"/>
      <c r="B50" s="15"/>
      <c r="C50" s="15"/>
      <c r="D50" s="15"/>
      <c r="E50" s="32">
        <v>3</v>
      </c>
      <c r="F50" s="15" t="s">
        <v>98</v>
      </c>
      <c r="G50" s="15">
        <v>2</v>
      </c>
      <c r="H50" s="15"/>
    </row>
    <row r="51" spans="1:8" x14ac:dyDescent="0.25">
      <c r="A51" s="15"/>
      <c r="B51" s="15"/>
      <c r="C51" s="15"/>
      <c r="D51" s="15"/>
      <c r="E51" s="32">
        <v>4</v>
      </c>
      <c r="F51" s="39" t="s">
        <v>99</v>
      </c>
      <c r="G51" s="15">
        <v>2</v>
      </c>
      <c r="H51" s="15"/>
    </row>
    <row r="52" spans="1:8" x14ac:dyDescent="0.25">
      <c r="A52" s="15"/>
      <c r="B52" s="15"/>
      <c r="C52" s="15"/>
      <c r="D52" s="15"/>
      <c r="E52" s="32">
        <v>5</v>
      </c>
      <c r="F52" s="15" t="s">
        <v>100</v>
      </c>
      <c r="G52" s="15">
        <v>7</v>
      </c>
      <c r="H52" s="15"/>
    </row>
    <row r="53" spans="1:8" x14ac:dyDescent="0.25">
      <c r="A53" s="15"/>
      <c r="B53" s="15"/>
      <c r="C53" s="15"/>
      <c r="D53" s="15"/>
      <c r="E53" s="32">
        <v>6</v>
      </c>
      <c r="F53" s="1" t="s">
        <v>82</v>
      </c>
      <c r="G53" s="15">
        <v>3</v>
      </c>
      <c r="H53" s="15"/>
    </row>
    <row r="54" spans="1:8" x14ac:dyDescent="0.25">
      <c r="A54" s="15"/>
      <c r="B54" s="15"/>
      <c r="C54" s="15"/>
      <c r="D54" s="15"/>
      <c r="E54" s="32">
        <v>7</v>
      </c>
      <c r="F54" s="37" t="s">
        <v>101</v>
      </c>
      <c r="G54" s="15">
        <v>1</v>
      </c>
      <c r="H54" s="15"/>
    </row>
  </sheetData>
  <mergeCells count="2">
    <mergeCell ref="A3:D3"/>
    <mergeCell ref="E3:G3"/>
  </mergeCells>
  <pageMargins left="0.39370078740157483" right="0.19685039370078741" top="0.19685039370078741" bottom="0.39370078740157483" header="0.31496062992125984" footer="0.31496062992125984"/>
  <pageSetup paperSize="9" orientation="landscape" r:id="rId1"/>
  <headerFooter>
    <oddFooter xml:space="preserve">&amp;C
&amp;R
Page &amp;P of &amp;N                      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topLeftCell="C1" zoomScale="85" zoomScaleNormal="85" workbookViewId="0">
      <pane xSplit="1" ySplit="3" topLeftCell="D19" activePane="bottomRight" state="frozen"/>
      <selection activeCell="C1" sqref="C1"/>
      <selection pane="topRight" activeCell="D1" sqref="D1"/>
      <selection pane="bottomLeft" activeCell="C5" sqref="C5"/>
      <selection pane="bottomRight" activeCell="E13" sqref="E13"/>
    </sheetView>
  </sheetViews>
  <sheetFormatPr defaultColWidth="28.42578125" defaultRowHeight="15" x14ac:dyDescent="0.25"/>
  <cols>
    <col min="1" max="1" width="9.28515625" style="21" bestFit="1" customWidth="1"/>
    <col min="2" max="2" width="12.7109375" style="21" bestFit="1" customWidth="1"/>
    <col min="3" max="3" width="17.7109375" style="21" customWidth="1"/>
    <col min="4" max="4" width="48.85546875" style="21" bestFit="1" customWidth="1"/>
    <col min="5" max="5" width="10.7109375" style="22" customWidth="1"/>
    <col min="6" max="16384" width="28.42578125" style="21"/>
  </cols>
  <sheetData>
    <row r="1" spans="1:6" s="22" customFormat="1" ht="22.5" customHeight="1" x14ac:dyDescent="0.25">
      <c r="D1" s="46">
        <v>1</v>
      </c>
      <c r="E1" s="47"/>
    </row>
    <row r="2" spans="1:6" s="22" customFormat="1" ht="22.5" customHeight="1" x14ac:dyDescent="0.25">
      <c r="D2" s="46" t="s">
        <v>144</v>
      </c>
      <c r="E2" s="47"/>
    </row>
    <row r="3" spans="1:6" s="48" customFormat="1" ht="72.75" customHeight="1" x14ac:dyDescent="0.25">
      <c r="C3" s="49" t="s">
        <v>143</v>
      </c>
      <c r="D3" s="49" t="s">
        <v>151</v>
      </c>
      <c r="E3" s="49" t="s">
        <v>146</v>
      </c>
      <c r="F3" s="49"/>
    </row>
    <row r="4" spans="1:6" s="55" customFormat="1" x14ac:dyDescent="0.25">
      <c r="A4" s="50" t="s">
        <v>109</v>
      </c>
      <c r="B4" s="57" t="s">
        <v>21</v>
      </c>
      <c r="C4" s="51" t="s">
        <v>110</v>
      </c>
      <c r="D4" s="52" t="s">
        <v>111</v>
      </c>
      <c r="E4" s="53">
        <v>1</v>
      </c>
      <c r="F4" s="58"/>
    </row>
    <row r="5" spans="1:6" s="55" customFormat="1" x14ac:dyDescent="0.25">
      <c r="A5" s="50" t="s">
        <v>109</v>
      </c>
      <c r="B5" s="57" t="s">
        <v>112</v>
      </c>
      <c r="C5" s="56" t="s">
        <v>113</v>
      </c>
      <c r="D5" s="52" t="s">
        <v>140</v>
      </c>
      <c r="E5" s="49">
        <v>1</v>
      </c>
      <c r="F5" s="58"/>
    </row>
    <row r="6" spans="1:6" s="55" customFormat="1" x14ac:dyDescent="0.25">
      <c r="B6" s="57" t="s">
        <v>112</v>
      </c>
      <c r="C6" s="51" t="s">
        <v>114</v>
      </c>
      <c r="D6" s="52" t="s">
        <v>150</v>
      </c>
      <c r="E6" s="53">
        <v>1</v>
      </c>
      <c r="F6" s="58"/>
    </row>
    <row r="7" spans="1:6" s="55" customFormat="1" x14ac:dyDescent="0.25">
      <c r="A7" s="50" t="s">
        <v>109</v>
      </c>
      <c r="B7" s="57" t="s">
        <v>112</v>
      </c>
      <c r="C7" s="56" t="s">
        <v>115</v>
      </c>
      <c r="D7" s="52" t="s">
        <v>116</v>
      </c>
      <c r="E7" s="53">
        <v>1</v>
      </c>
      <c r="F7" s="58"/>
    </row>
    <row r="8" spans="1:6" s="55" customFormat="1" x14ac:dyDescent="0.25">
      <c r="A8" s="50" t="s">
        <v>109</v>
      </c>
      <c r="B8" s="57" t="s">
        <v>112</v>
      </c>
      <c r="C8" s="51" t="s">
        <v>117</v>
      </c>
      <c r="D8" s="52" t="s">
        <v>141</v>
      </c>
      <c r="E8" s="53">
        <v>1</v>
      </c>
      <c r="F8" s="58"/>
    </row>
    <row r="9" spans="1:6" s="55" customFormat="1" x14ac:dyDescent="0.25">
      <c r="A9" s="50" t="s">
        <v>109</v>
      </c>
      <c r="B9" s="57" t="s">
        <v>112</v>
      </c>
      <c r="C9" s="51" t="s">
        <v>118</v>
      </c>
      <c r="D9" s="52" t="s">
        <v>119</v>
      </c>
      <c r="E9" s="53">
        <v>1</v>
      </c>
      <c r="F9" s="58"/>
    </row>
    <row r="10" spans="1:6" s="55" customFormat="1" x14ac:dyDescent="0.25">
      <c r="A10" s="50" t="s">
        <v>109</v>
      </c>
      <c r="B10" s="57" t="s">
        <v>112</v>
      </c>
      <c r="C10" s="51" t="s">
        <v>120</v>
      </c>
      <c r="D10" s="54" t="s">
        <v>142</v>
      </c>
      <c r="E10" s="53">
        <v>1</v>
      </c>
      <c r="F10" s="58"/>
    </row>
    <row r="11" spans="1:6" s="55" customFormat="1" x14ac:dyDescent="0.25">
      <c r="A11" s="50" t="s">
        <v>109</v>
      </c>
      <c r="B11" s="57" t="s">
        <v>21</v>
      </c>
      <c r="C11" s="51" t="s">
        <v>121</v>
      </c>
      <c r="D11" s="54" t="s">
        <v>122</v>
      </c>
      <c r="E11" s="53">
        <v>1</v>
      </c>
      <c r="F11" s="58"/>
    </row>
    <row r="12" spans="1:6" s="55" customFormat="1" x14ac:dyDescent="0.25">
      <c r="A12" s="50"/>
      <c r="B12" s="57"/>
      <c r="C12" s="51" t="s">
        <v>148</v>
      </c>
      <c r="D12" s="54" t="s">
        <v>149</v>
      </c>
      <c r="E12" s="53">
        <v>1</v>
      </c>
      <c r="F12" s="58"/>
    </row>
    <row r="13" spans="1:6" s="55" customFormat="1" x14ac:dyDescent="0.25">
      <c r="A13" s="50" t="s">
        <v>109</v>
      </c>
      <c r="B13" s="57" t="s">
        <v>21</v>
      </c>
      <c r="C13" s="51" t="s">
        <v>124</v>
      </c>
      <c r="D13" s="54" t="s">
        <v>123</v>
      </c>
      <c r="E13" s="53">
        <v>1</v>
      </c>
      <c r="F13" s="58"/>
    </row>
    <row r="14" spans="1:6" s="55" customFormat="1" x14ac:dyDescent="0.25">
      <c r="A14" s="50" t="s">
        <v>109</v>
      </c>
      <c r="B14" s="57" t="s">
        <v>112</v>
      </c>
      <c r="C14" s="51" t="s">
        <v>125</v>
      </c>
      <c r="D14" s="54" t="s">
        <v>145</v>
      </c>
      <c r="E14" s="53">
        <v>1</v>
      </c>
      <c r="F14" s="58"/>
    </row>
    <row r="15" spans="1:6" s="55" customFormat="1" x14ac:dyDescent="0.25">
      <c r="A15" s="50"/>
      <c r="B15" s="57"/>
      <c r="C15" s="51" t="s">
        <v>126</v>
      </c>
      <c r="D15" s="54" t="s">
        <v>133</v>
      </c>
      <c r="E15" s="53">
        <v>4</v>
      </c>
      <c r="F15" s="58"/>
    </row>
    <row r="16" spans="1:6" s="55" customFormat="1" x14ac:dyDescent="0.25">
      <c r="A16" s="50" t="s">
        <v>109</v>
      </c>
      <c r="B16" s="57" t="s">
        <v>112</v>
      </c>
      <c r="C16" s="51" t="s">
        <v>128</v>
      </c>
      <c r="D16" s="54" t="s">
        <v>127</v>
      </c>
      <c r="E16" s="53">
        <v>1</v>
      </c>
      <c r="F16" s="58"/>
    </row>
    <row r="17" spans="1:6" x14ac:dyDescent="0.25">
      <c r="A17" s="50" t="s">
        <v>109</v>
      </c>
      <c r="B17" s="57" t="s">
        <v>112</v>
      </c>
      <c r="C17" s="51"/>
      <c r="D17" s="5" t="s">
        <v>100</v>
      </c>
      <c r="E17" s="26">
        <v>4</v>
      </c>
      <c r="F17" s="5"/>
    </row>
    <row r="18" spans="1:6" x14ac:dyDescent="0.25">
      <c r="A18" s="50" t="s">
        <v>109</v>
      </c>
      <c r="B18" s="57" t="s">
        <v>112</v>
      </c>
      <c r="C18" s="51"/>
      <c r="D18" s="5" t="s">
        <v>82</v>
      </c>
      <c r="E18" s="26">
        <v>3</v>
      </c>
      <c r="F18" s="5"/>
    </row>
    <row r="19" spans="1:6" x14ac:dyDescent="0.25">
      <c r="A19" s="50" t="s">
        <v>109</v>
      </c>
      <c r="B19" s="57" t="s">
        <v>112</v>
      </c>
      <c r="C19" s="51"/>
      <c r="D19" s="5" t="s">
        <v>129</v>
      </c>
      <c r="E19" s="26">
        <v>5</v>
      </c>
      <c r="F19" s="5"/>
    </row>
    <row r="20" spans="1:6" x14ac:dyDescent="0.25">
      <c r="A20" s="50" t="s">
        <v>109</v>
      </c>
      <c r="B20" s="57" t="s">
        <v>112</v>
      </c>
      <c r="C20" s="51"/>
      <c r="D20" s="5" t="s">
        <v>130</v>
      </c>
      <c r="E20" s="26">
        <v>4</v>
      </c>
      <c r="F20" s="5"/>
    </row>
    <row r="21" spans="1:6" x14ac:dyDescent="0.25">
      <c r="A21" s="50" t="s">
        <v>109</v>
      </c>
      <c r="B21" s="57" t="s">
        <v>112</v>
      </c>
      <c r="C21" s="51"/>
      <c r="D21" s="5" t="s">
        <v>131</v>
      </c>
      <c r="E21" s="26">
        <v>4</v>
      </c>
      <c r="F21" s="5"/>
    </row>
    <row r="22" spans="1:6" x14ac:dyDescent="0.25">
      <c r="A22" s="50" t="s">
        <v>109</v>
      </c>
      <c r="B22" s="57" t="s">
        <v>112</v>
      </c>
      <c r="C22" s="51"/>
      <c r="D22" s="5" t="s">
        <v>132</v>
      </c>
      <c r="E22" s="26">
        <v>5</v>
      </c>
      <c r="F22" s="5"/>
    </row>
    <row r="23" spans="1:6" x14ac:dyDescent="0.25">
      <c r="A23" s="50" t="s">
        <v>109</v>
      </c>
      <c r="B23" s="57" t="s">
        <v>112</v>
      </c>
      <c r="C23" s="51"/>
      <c r="D23" s="5" t="s">
        <v>133</v>
      </c>
      <c r="E23" s="26">
        <v>4</v>
      </c>
      <c r="F23" s="5"/>
    </row>
    <row r="24" spans="1:6" x14ac:dyDescent="0.25">
      <c r="A24" s="50" t="s">
        <v>109</v>
      </c>
      <c r="B24" s="57" t="s">
        <v>112</v>
      </c>
      <c r="C24" s="51"/>
      <c r="D24" s="5" t="s">
        <v>134</v>
      </c>
      <c r="E24" s="26">
        <v>1</v>
      </c>
      <c r="F24" s="5"/>
    </row>
    <row r="25" spans="1:6" x14ac:dyDescent="0.25">
      <c r="A25" s="50" t="s">
        <v>109</v>
      </c>
      <c r="B25" s="57" t="s">
        <v>112</v>
      </c>
      <c r="C25" s="51"/>
      <c r="D25" s="5" t="s">
        <v>135</v>
      </c>
      <c r="E25" s="26">
        <v>5</v>
      </c>
      <c r="F25" s="5"/>
    </row>
    <row r="26" spans="1:6" x14ac:dyDescent="0.25">
      <c r="A26" s="50" t="s">
        <v>109</v>
      </c>
      <c r="B26" s="57" t="s">
        <v>112</v>
      </c>
      <c r="C26" s="51"/>
      <c r="D26" s="5" t="s">
        <v>136</v>
      </c>
      <c r="E26" s="26">
        <v>8</v>
      </c>
      <c r="F26" s="5"/>
    </row>
    <row r="27" spans="1:6" x14ac:dyDescent="0.25">
      <c r="A27" s="50" t="s">
        <v>109</v>
      </c>
      <c r="B27" s="57" t="s">
        <v>112</v>
      </c>
      <c r="C27" s="51"/>
      <c r="D27" s="5" t="s">
        <v>137</v>
      </c>
      <c r="E27" s="26">
        <v>20</v>
      </c>
      <c r="F27" s="5"/>
    </row>
    <row r="28" spans="1:6" x14ac:dyDescent="0.25">
      <c r="A28" s="50" t="s">
        <v>109</v>
      </c>
      <c r="B28" s="57" t="s">
        <v>112</v>
      </c>
      <c r="C28" s="5"/>
      <c r="D28" s="5" t="s">
        <v>138</v>
      </c>
      <c r="E28" s="26">
        <v>1</v>
      </c>
      <c r="F28" s="5"/>
    </row>
    <row r="29" spans="1:6" x14ac:dyDescent="0.25">
      <c r="A29" s="50" t="s">
        <v>109</v>
      </c>
      <c r="B29" s="57" t="s">
        <v>112</v>
      </c>
      <c r="C29" s="5"/>
      <c r="D29" s="5" t="s">
        <v>139</v>
      </c>
      <c r="E29" s="26">
        <v>5</v>
      </c>
      <c r="F29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GRANULES TO IC</vt:lpstr>
      <vt:lpstr>PIPE to CAGE--BOM</vt:lpstr>
      <vt:lpstr>Pallet Assembly</vt:lpstr>
      <vt:lpstr>FG-BOM-W</vt:lpstr>
      <vt:lpstr>'GRANULES TO IC'!Print_Titles</vt:lpstr>
      <vt:lpstr>'Pallet Assembly'!Print_Titles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2026-08-29T08:52:55Z</dcterms:modified>
</cp:coreProperties>
</file>