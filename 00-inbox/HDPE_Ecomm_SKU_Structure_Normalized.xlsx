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5"/>
    <sheet state="visible" name="T1_ProductType" sheetId="2" r:id="rId6"/>
    <sheet state="visible" name="T2_GroupSKU" sheetId="3" r:id="rId7"/>
    <sheet state="visible" name="T3_SKU" sheetId="4" r:id="rId8"/>
    <sheet state="visible" name="View_Combined (lookup)" sheetId="5" r:id="rId9"/>
  </sheets>
  <definedNames>
    <definedName hidden="1" localSheetId="1" name="_xlnm._FilterDatabase">T1_ProductType!$A$1:$E$37</definedName>
    <definedName hidden="1" localSheetId="2" name="_xlnm._FilterDatabase">T2_GroupSKU!$A$1:$F$80</definedName>
    <definedName hidden="1" localSheetId="3" name="_xlnm._FilterDatabase">T3_SKU!$A$1:$F$449</definedName>
    <definedName hidden="1" localSheetId="4" name="_xlnm._FilterDatabase">'View_Combined (lookup)'!$A$1:$M$449</definedName>
  </definedNames>
  <calcPr/>
</workbook>
</file>

<file path=xl/sharedStrings.xml><?xml version="1.0" encoding="utf-8"?>
<sst xmlns="http://schemas.openxmlformats.org/spreadsheetml/2006/main" count="3185" uniqueCount="1390">
  <si>
    <t>SKU Code</t>
  </si>
  <si>
    <t>Product Type ID</t>
  </si>
  <si>
    <t>HDPE Drum &amp; Accessories — Normalized SKU Data Model</t>
  </si>
  <si>
    <t>Group SKU Code</t>
  </si>
  <si>
    <t>Group SKU Name</t>
  </si>
  <si>
    <t>Product Type ID (FK)</t>
  </si>
  <si>
    <t>Capacity/Size Value</t>
  </si>
  <si>
    <t>Unit</t>
  </si>
  <si>
    <t>Context: Pyramid Technoplast Ltd (pyramidtechnoplast.com) — Plastic Barrels vertical</t>
  </si>
  <si>
    <t>No. of SKUs (Variants)</t>
  </si>
  <si>
    <t>Product Type</t>
  </si>
  <si>
    <t>BUNG</t>
  </si>
  <si>
    <t>Category</t>
  </si>
  <si>
    <t>Business Vertical</t>
  </si>
  <si>
    <t>Industry Standard Term</t>
  </si>
  <si>
    <t>Bung</t>
  </si>
  <si>
    <t>PT01</t>
  </si>
  <si>
    <t>Why normalized</t>
  </si>
  <si>
    <t>The earlier flat sheet repeated Group SKU Name, Category, Product Type, Business Vertical on every one of 448 rows. This version splits that into 3 linked tables so each fact is stored exactly once, edited in exactly one place, and stays consistent.</t>
  </si>
  <si>
    <t>Accessory</t>
  </si>
  <si>
    <t>Table</t>
  </si>
  <si>
    <t>Plastic Barrels</t>
  </si>
  <si>
    <t>Contents &amp; Key</t>
  </si>
  <si>
    <t>PT02</t>
  </si>
  <si>
    <t>T1_ProductType (36 rows)</t>
  </si>
  <si>
    <t>CAPSL</t>
  </si>
  <si>
    <t>Cap Seal</t>
  </si>
  <si>
    <t>One row per product family (e.g. Narrow Mouth Drum, PP Cap). Primary Key: Product Type ID. Holds Category, Business Vertical, Industry Standard Term — each stored once instead of repeated per SKU.</t>
  </si>
  <si>
    <t>T2_GroupSKU (79 rows)</t>
  </si>
  <si>
    <t>One row per parent/listing-level product (e.g. NMD-210 = Narrow Mouth Drum, 210 LTR). Primary Key: Group SKU Code. Foreign Key: Product Type ID → T1_ProductType. Holds Capacity/Size and variant count.</t>
  </si>
  <si>
    <t>CAPSL-PR</t>
  </si>
  <si>
    <t>Printed Cap Seal (Branded)</t>
  </si>
  <si>
    <t>PT03</t>
  </si>
  <si>
    <t>T3_SKU (448 rows)</t>
  </si>
  <si>
    <t>Cap Spanner</t>
  </si>
  <si>
    <t>PT24</t>
  </si>
  <si>
    <t>One row per sellable item (the actual variant — color/weight/etc.). Primary Key: SKU Code. Foreign Key: Group SKU Code → T2_GroupSKU. Holds only variant-specific data: Variant description, Original Item Name, UOM, HSN.</t>
  </si>
  <si>
    <t>View_Combined (lookup)</t>
  </si>
  <si>
    <t>CAPSPN</t>
  </si>
  <si>
    <t>Not a master table — a formula-driven flat view (INDEX/MATCH against T1/T2/T3) that reconstructs the old wide format for filtering/exporting. Edit the source tables, not this sheet; it recalculates automatically.</t>
  </si>
  <si>
    <t>PT04</t>
  </si>
  <si>
    <t>Cliching Cover</t>
  </si>
  <si>
    <t>Relationship (ERD)</t>
  </si>
  <si>
    <t>CLCV</t>
  </si>
  <si>
    <t>T1_ProductType (1) ──&lt; T2_GroupSKU (many) ──&lt; T3_SKU (many)</t>
  </si>
  <si>
    <t>PT05</t>
  </si>
  <si>
    <t>i.e. one Product Type has many Group SKUs; one Group SKU has many child SKUs.</t>
  </si>
  <si>
    <t>Corner Protector</t>
  </si>
  <si>
    <t>CRNP</t>
  </si>
  <si>
    <t>How to use</t>
  </si>
  <si>
    <t>Add a new SKU</t>
  </si>
  <si>
    <t>Just add a row to T3_SKU with a new SKU Code and the correct Group SKU Code (FK). No need to re-type Product Type/Category anywhere.</t>
  </si>
  <si>
    <t>PT06</t>
  </si>
  <si>
    <t>DGCAP-6IN</t>
  </si>
  <si>
    <t>Add a new Group SKU</t>
  </si>
  <si>
    <t>DG Cap</t>
  </si>
  <si>
    <t>Add a row to T2_GroupSKU with a new Group SKU Code and the correct Product Type ID (FK).</t>
  </si>
  <si>
    <t>DG Cap - 6.0"</t>
  </si>
  <si>
    <t>Rename/recategorize a Product Type</t>
  </si>
  <si>
    <t>INCH</t>
  </si>
  <si>
    <t>Edit it once in T1_ProductType — it updates everywhere via the View sheet automatically.</t>
  </si>
  <si>
    <t>PT07</t>
  </si>
  <si>
    <t>DMYCAP</t>
  </si>
  <si>
    <t>Drip Pan</t>
  </si>
  <si>
    <t>Dummy Cap</t>
  </si>
  <si>
    <t>Notes &amp; Assumptions (carried over)</t>
  </si>
  <si>
    <t>PT08</t>
  </si>
  <si>
    <t>1.</t>
  </si>
  <si>
    <t>DRPN</t>
  </si>
  <si>
    <t>Source: HDPE_DRUM_AND_ACCESSORIES_ITEM_MASTER.xlsx, sheet " CHECKING 060626", 448 item rows.</t>
  </si>
  <si>
    <t>2.</t>
  </si>
  <si>
    <t>All Group SKU / SKU codes and IDs are newly generated for this exercise — proposed, remappable to your own scheme.</t>
  </si>
  <si>
    <t>3.</t>
  </si>
  <si>
    <t>Weight (KG) on drums/cans = wall-thickness/grade tier, treated as a variant attribute inside T3_SKU, not a separate Group SKU.</t>
  </si>
  <si>
    <t>ELB</t>
  </si>
  <si>
    <t>Elbow (IBC)</t>
  </si>
  <si>
    <t>PT09</t>
  </si>
  <si>
    <t>4.</t>
  </si>
  <si>
    <t>"FOT" split into FOT Drum (has litre capacity) vs. FOT Cap/Ring/Lock accessories, per earlier analysis.</t>
  </si>
  <si>
    <t>5.</t>
  </si>
  <si>
    <t>FOTCAP-10IN</t>
  </si>
  <si>
    <t>Business Vertical = "Plastic Barrels" for all rows (per Pyramid's own site structure) — this item master doesn't cover their IBC Container or MS Barrel lines.</t>
  </si>
  <si>
    <t>FOT Cap - 10.0"</t>
  </si>
  <si>
    <t>PT10</t>
  </si>
  <si>
    <t>FOT Cap</t>
  </si>
  <si>
    <t>FOTCAP-14IN</t>
  </si>
  <si>
    <t>FOT Cap - 14.0"</t>
  </si>
  <si>
    <t>PT11</t>
  </si>
  <si>
    <t>FOT Lock</t>
  </si>
  <si>
    <t>FOTCAP-21IN</t>
  </si>
  <si>
    <t>FOT Cap - 21.0"</t>
  </si>
  <si>
    <t>PT12</t>
  </si>
  <si>
    <t>FOTD-210</t>
  </si>
  <si>
    <t>FOT Plastic Ring</t>
  </si>
  <si>
    <t>FOT (Full Open Top) Drum - 210.0 LTR</t>
  </si>
  <si>
    <t>PT34</t>
  </si>
  <si>
    <t>LTR</t>
  </si>
  <si>
    <t>PT13</t>
  </si>
  <si>
    <t>FOT Rubber Ring</t>
  </si>
  <si>
    <t>FOTD-220</t>
  </si>
  <si>
    <t>FOT (Full Open Top) Drum - 220.0 LTR</t>
  </si>
  <si>
    <t>PT14</t>
  </si>
  <si>
    <t>FOTD-235</t>
  </si>
  <si>
    <t>Handle</t>
  </si>
  <si>
    <t>FOT (Full Open Top) Drum - 235.0 LTR</t>
  </si>
  <si>
    <t>FOTD-240</t>
  </si>
  <si>
    <t>FOT (Full Open Top) Drum - 240.0 LTR</t>
  </si>
  <si>
    <t>FOTD-30</t>
  </si>
  <si>
    <t>FOT (Full Open Top) Drum - 30.0 LTR</t>
  </si>
  <si>
    <t>PT15</t>
  </si>
  <si>
    <t>Insert</t>
  </si>
  <si>
    <t>FOTD-35</t>
  </si>
  <si>
    <t>FOT (Full Open Top) Drum - 35.0 LTR</t>
  </si>
  <si>
    <t>PT16</t>
  </si>
  <si>
    <t>Lugs</t>
  </si>
  <si>
    <t>FOTD-50</t>
  </si>
  <si>
    <t>FOT (Full Open Top) Drum - 50.0 LTR</t>
  </si>
  <si>
    <t>PT17</t>
  </si>
  <si>
    <t>FOTD-60</t>
  </si>
  <si>
    <t>M/Z Cap</t>
  </si>
  <si>
    <t>FOT (Full Open Top) Drum - 60.0 LTR</t>
  </si>
  <si>
    <t>PT18</t>
  </si>
  <si>
    <t>FOTLOCK</t>
  </si>
  <si>
    <t>MS Ring</t>
  </si>
  <si>
    <t>PT19</t>
  </si>
  <si>
    <t>FOTPLRING</t>
  </si>
  <si>
    <t>Other Accessory</t>
  </si>
  <si>
    <t>FOTRBRING</t>
  </si>
  <si>
    <t>PT20</t>
  </si>
  <si>
    <t>PP Cap</t>
  </si>
  <si>
    <t>HDL</t>
  </si>
  <si>
    <t>PT21</t>
  </si>
  <si>
    <t>Pin</t>
  </si>
  <si>
    <t>INS</t>
  </si>
  <si>
    <t>PT22</t>
  </si>
  <si>
    <t>INS-10IN</t>
  </si>
  <si>
    <t>Plain Cap</t>
  </si>
  <si>
    <t>Insert - 10.0"</t>
  </si>
  <si>
    <t>Group SKU Code (FK)</t>
  </si>
  <si>
    <t>INS-1IN</t>
  </si>
  <si>
    <t>PT23</t>
  </si>
  <si>
    <t>Insert - 1.0"</t>
  </si>
  <si>
    <t>Variant</t>
  </si>
  <si>
    <t>Plastic Ring</t>
  </si>
  <si>
    <t>Original Item Name</t>
  </si>
  <si>
    <t>UOM</t>
  </si>
  <si>
    <t>INS-2IN</t>
  </si>
  <si>
    <t>Insert - 2.0"</t>
  </si>
  <si>
    <t>HSN Code</t>
  </si>
  <si>
    <t>INS-6IN</t>
  </si>
  <si>
    <t>PT25</t>
  </si>
  <si>
    <t>Insert - 6.0"</t>
  </si>
  <si>
    <t>Ring - Other</t>
  </si>
  <si>
    <t>BUNG-ORG</t>
  </si>
  <si>
    <t>INS-8IN</t>
  </si>
  <si>
    <t>Insert - 8.0"</t>
  </si>
  <si>
    <t>PT26</t>
  </si>
  <si>
    <t>Security Flap</t>
  </si>
  <si>
    <t>JC-25</t>
  </si>
  <si>
    <t>Jerry Can - 25.0 LTR</t>
  </si>
  <si>
    <t>PT27</t>
  </si>
  <si>
    <t>PT31</t>
  </si>
  <si>
    <t>Spacer</t>
  </si>
  <si>
    <t>Orange</t>
  </si>
  <si>
    <t>JC-30</t>
  </si>
  <si>
    <t>BUNGS RING ORANGE</t>
  </si>
  <si>
    <t>Jerry Can - 30.0 LTR</t>
  </si>
  <si>
    <t>NOS</t>
  </si>
  <si>
    <t xml:space="preserve">               </t>
  </si>
  <si>
    <t>PT28</t>
  </si>
  <si>
    <t>Sponge Gasket</t>
  </si>
  <si>
    <t>BUNG-V359</t>
  </si>
  <si>
    <t>JC-35</t>
  </si>
  <si>
    <t>Jerry Can - 35.0 LTR</t>
  </si>
  <si>
    <t>BUNGS RING</t>
  </si>
  <si>
    <t>PT29</t>
  </si>
  <si>
    <t>39235010</t>
  </si>
  <si>
    <t>JC-40</t>
  </si>
  <si>
    <t>Top Seal Cap</t>
  </si>
  <si>
    <t>Jerry Can - 40.0 LTR</t>
  </si>
  <si>
    <t>BUNG-V408</t>
  </si>
  <si>
    <t>BUNGS</t>
  </si>
  <si>
    <t>LUG</t>
  </si>
  <si>
    <t>PT30</t>
  </si>
  <si>
    <t>nos</t>
  </si>
  <si>
    <t>Vent Fitting</t>
  </si>
  <si>
    <t>BUNG-V409</t>
  </si>
  <si>
    <t>MISC</t>
  </si>
  <si>
    <t>70mm / Ibc</t>
  </si>
  <si>
    <t>BUNGS 70 MM ( IBC )</t>
  </si>
  <si>
    <t>Jerry Can</t>
  </si>
  <si>
    <t>Can</t>
  </si>
  <si>
    <t>BUNG-V41</t>
  </si>
  <si>
    <t>MSRING-10IN</t>
  </si>
  <si>
    <t>MS Ring - 10.0"</t>
  </si>
  <si>
    <t>Jerry Can / Carboy</t>
  </si>
  <si>
    <t>BUNGS DG</t>
  </si>
  <si>
    <t>PT32</t>
  </si>
  <si>
    <t>M/Z Can</t>
  </si>
  <si>
    <t>BUNG-V442</t>
  </si>
  <si>
    <t>MSRING-14IN</t>
  </si>
  <si>
    <t>50mm / Ibc</t>
  </si>
  <si>
    <t>MS Ring - 14.0"</t>
  </si>
  <si>
    <t>BUNGS 50 MM ( IBC )</t>
  </si>
  <si>
    <t>Mouth-Zip Can</t>
  </si>
  <si>
    <t>PT33</t>
  </si>
  <si>
    <t>BUNG-V444</t>
  </si>
  <si>
    <t>MSRING-19IN</t>
  </si>
  <si>
    <t>Rocket Can</t>
  </si>
  <si>
    <t>MS Ring - 19.0"</t>
  </si>
  <si>
    <t>50mm / Galaxy</t>
  </si>
  <si>
    <t>BUNGS 50 MM (GALAXY)</t>
  </si>
  <si>
    <t>MZC-20</t>
  </si>
  <si>
    <t>FOT (Full Open Top) Drum</t>
  </si>
  <si>
    <t>M/Z Can - 20.0 LTR</t>
  </si>
  <si>
    <t>BUNG-V445</t>
  </si>
  <si>
    <t>Drum</t>
  </si>
  <si>
    <t>BUNGS SOFT RING</t>
  </si>
  <si>
    <t>Fully Open Top Drum</t>
  </si>
  <si>
    <t>MZC-25</t>
  </si>
  <si>
    <t>PT35</t>
  </si>
  <si>
    <t>M/Z Can - 25.0 LTR</t>
  </si>
  <si>
    <t>Narrow Mouth Drum</t>
  </si>
  <si>
    <t>BUNG-V447</t>
  </si>
  <si>
    <t>65mm</t>
  </si>
  <si>
    <t>Tight Head Drum</t>
  </si>
  <si>
    <t>MZC-30</t>
  </si>
  <si>
    <t>TOP SEAL BUNGS 65 MM</t>
  </si>
  <si>
    <t>M/Z Can - 30.0 LTR</t>
  </si>
  <si>
    <t>PT36</t>
  </si>
  <si>
    <t>CAPSL-PR-BLK</t>
  </si>
  <si>
    <t>Wide Mouth Drum</t>
  </si>
  <si>
    <t>50mm / Black / Black Rose</t>
  </si>
  <si>
    <t>MZC-32</t>
  </si>
  <si>
    <t>MS CAP SEAL PRINTED 50 MM (BLACK ROSE)</t>
  </si>
  <si>
    <t>M/Z Can - 32.0 LTR</t>
  </si>
  <si>
    <t>Open Head Drum</t>
  </si>
  <si>
    <t>83099030</t>
  </si>
  <si>
    <t>CAPSL-PR-V22</t>
  </si>
  <si>
    <t>MZC-35</t>
  </si>
  <si>
    <t>50mm / Aditya Birla  Logo</t>
  </si>
  <si>
    <t>M/Z Can - 35.0 LTR</t>
  </si>
  <si>
    <t>MS CAP SEAL  PRINTED 50 MM (ADITYA BIRLA  LOGO)</t>
  </si>
  <si>
    <t>83099090</t>
  </si>
  <si>
    <t>CAPSL-PR-V23</t>
  </si>
  <si>
    <t>MZC-40</t>
  </si>
  <si>
    <t>75mm / Charbhuja Logo</t>
  </si>
  <si>
    <t>M/Z Can - 40.0 LTR</t>
  </si>
  <si>
    <t>MS CAP SEAL PRINTED 75 MM (CHARBHUJA LOGO)</t>
  </si>
  <si>
    <t>MZCAP</t>
  </si>
  <si>
    <t>CAPSL-PR-V24</t>
  </si>
  <si>
    <t>50mm / Sika Logo</t>
  </si>
  <si>
    <t>MS CAP SEAL PRINTED 50 MM (SIKA LOGO)</t>
  </si>
  <si>
    <t>NMD-200</t>
  </si>
  <si>
    <t>Narrow Mouth Drum - 200.0 LTR</t>
  </si>
  <si>
    <t>CAPSL-PR-V25</t>
  </si>
  <si>
    <t>75mm / Bitchem Logo</t>
  </si>
  <si>
    <t>MS CAP SEAL PRINTED 75 MM (BITCHEM LOGO)</t>
  </si>
  <si>
    <t>NMD-210</t>
  </si>
  <si>
    <t>Narrow Mouth Drum - 210.0 LTR</t>
  </si>
  <si>
    <t>CAPSL-PR-V26</t>
  </si>
  <si>
    <t>75mm / Unitop Logo</t>
  </si>
  <si>
    <t>MS CAP SEAL PRINTED 75 MM (UNITOP LOGO)</t>
  </si>
  <si>
    <t>NMD-220</t>
  </si>
  <si>
    <t>Narrow Mouth Drum - 220.0 LTR</t>
  </si>
  <si>
    <t>CAPSL-PR-V27</t>
  </si>
  <si>
    <t>50mm / Chiripal Logo</t>
  </si>
  <si>
    <t>MS CAP SEAL PRINTED 50 MM (CHIRIPAL LOGO)</t>
  </si>
  <si>
    <t>NMD-230</t>
  </si>
  <si>
    <t>Narrow Mouth Drum - 230.0 LTR</t>
  </si>
  <si>
    <t>CAPSL-PR-V28</t>
  </si>
  <si>
    <t>50mm / Tashoil Logo</t>
  </si>
  <si>
    <t>MS CAP SEAL PRINTED 50 MM (TASHOIL LOGO )</t>
  </si>
  <si>
    <t>NMD-235</t>
  </si>
  <si>
    <t>Narrow Mouth Drum - 235.0 LTR</t>
  </si>
  <si>
    <t>CAPSL-PR-V29</t>
  </si>
  <si>
    <t>50mm / Aethel Logo</t>
  </si>
  <si>
    <t>MS CAP SEAL PRINTED 50 MM (AETHEL LOGO)</t>
  </si>
  <si>
    <t>NMD-250</t>
  </si>
  <si>
    <t>Narrow Mouth Drum - 250.0 LTR</t>
  </si>
  <si>
    <t>CAPSL-PR-V30</t>
  </si>
  <si>
    <t>50mm / Ansika Logo</t>
  </si>
  <si>
    <t>MS CAP SEAL PRINTED 50 MM (ANSIKA LOGO)</t>
  </si>
  <si>
    <t>NMD-50</t>
  </si>
  <si>
    <t>Narrow Mouth Drum - 50.0 LTR</t>
  </si>
  <si>
    <t>CAPSL-PR-V32</t>
  </si>
  <si>
    <t>50mm / Gfl Logo</t>
  </si>
  <si>
    <t>PIN</t>
  </si>
  <si>
    <t>MS CAP SEAL PRINTED 50 MM (GFL LOGO)</t>
  </si>
  <si>
    <t>CAPSL-PR-V33</t>
  </si>
  <si>
    <t>PLCAP-10IN</t>
  </si>
  <si>
    <t>Plain Cap - 10.0"</t>
  </si>
  <si>
    <t>50mm / Gp Logo</t>
  </si>
  <si>
    <t>MS CAP SEAL PRINTED 50 MM (GP LOGO)</t>
  </si>
  <si>
    <t>PLCAP-2IN</t>
  </si>
  <si>
    <t>CAPSL-PR-V34</t>
  </si>
  <si>
    <t>Plain Cap - 2.0"</t>
  </si>
  <si>
    <t>50mm / Iol Logo</t>
  </si>
  <si>
    <t>MS CAP SEAL PRINTED 50 MM (IOL LOGO )</t>
  </si>
  <si>
    <t>PLCAP-6IN</t>
  </si>
  <si>
    <t>Plain Cap - 6.0"</t>
  </si>
  <si>
    <t>CAPSL-PR-V35</t>
  </si>
  <si>
    <t>50mm / Maxwell Logo</t>
  </si>
  <si>
    <t>MS CAP SEAL PRINTED 50 MM (MAXWELL LOGO)</t>
  </si>
  <si>
    <t>PLCAP-8IN</t>
  </si>
  <si>
    <t>Plain Cap - 8.0"</t>
  </si>
  <si>
    <t>CAPSL-PR-V36</t>
  </si>
  <si>
    <t>50mm / Megamani Fine</t>
  </si>
  <si>
    <t>MS CAP SEAL PRINTED 50 MM (MEGAMANI FINE)</t>
  </si>
  <si>
    <t>PLRING-14IN</t>
  </si>
  <si>
    <t>Plastic Ring - 14.0"</t>
  </si>
  <si>
    <t>CAPSL-PR-V37</t>
  </si>
  <si>
    <t>50mm / Mfl Logo</t>
  </si>
  <si>
    <t>MS CAP SEAL PRINTED 50 MM (MFL LOGO)</t>
  </si>
  <si>
    <t>PPCAP-1IN</t>
  </si>
  <si>
    <t>PP Cap - 1.0"</t>
  </si>
  <si>
    <t>CAPSL-PR-V38</t>
  </si>
  <si>
    <t>50mm / Solenis Logo</t>
  </si>
  <si>
    <t>PPCAP-2IN</t>
  </si>
  <si>
    <t>PP Cap - 2.0"</t>
  </si>
  <si>
    <t>MS CAP SEAL PRINTED 50 MM (SOLENIS LOGO)</t>
  </si>
  <si>
    <t>CAPSL-PR-V39</t>
  </si>
  <si>
    <t>PPCAP-6IN</t>
  </si>
  <si>
    <t>PP Cap - 6.0"</t>
  </si>
  <si>
    <t>50mm / Bios Logo</t>
  </si>
  <si>
    <t>MS CAP SEAL PRINTED 50 MM (BIOS LOGO)</t>
  </si>
  <si>
    <t>RING</t>
  </si>
  <si>
    <t>CAPSL-PR-V40</t>
  </si>
  <si>
    <t>50mm / Bios Crop Logo</t>
  </si>
  <si>
    <t>MS CAP SEAL PRINTED 50 MM (BIOS CROP LOGO)</t>
  </si>
  <si>
    <t>RING-14IN</t>
  </si>
  <si>
    <t>Ring - Other - 14.0"</t>
  </si>
  <si>
    <t>CAPSL-PR-V49</t>
  </si>
  <si>
    <t>50mm / Galata Chemicals</t>
  </si>
  <si>
    <t>MS CAP SEAL PRINTED 50 MM (GALATA CHEMICALS)</t>
  </si>
  <si>
    <t>RING-18IN</t>
  </si>
  <si>
    <t>Ring - Other - 18.0"</t>
  </si>
  <si>
    <t>CAPSL-PR-V50</t>
  </si>
  <si>
    <t>50mm / Seal For Protection Logo</t>
  </si>
  <si>
    <t>MS CAP SEAL PRINTED 50 MM (SEAL FOR PROTECTION LOGO)</t>
  </si>
  <si>
    <t>RING-2IN</t>
  </si>
  <si>
    <t>Ring - Other - 2.0"</t>
  </si>
  <si>
    <t>RING-6IN</t>
  </si>
  <si>
    <t>Ring - Other - 6.0"</t>
  </si>
  <si>
    <t>RING-8IN</t>
  </si>
  <si>
    <t>Ring - Other - 8.0"</t>
  </si>
  <si>
    <t>RKT-50</t>
  </si>
  <si>
    <t>Rocket Can - 50.0 LTR</t>
  </si>
  <si>
    <t>SECFL</t>
  </si>
  <si>
    <t>SPCR</t>
  </si>
  <si>
    <t>CAPSL-PR-V51</t>
  </si>
  <si>
    <t>50mm / Supreme Logo</t>
  </si>
  <si>
    <t>MS CAP SEAL PRINTED 50 MM (SUPREME LOGO)</t>
  </si>
  <si>
    <t>SPGSK</t>
  </si>
  <si>
    <t>CAPSL-PR-V52</t>
  </si>
  <si>
    <t>50mm / Viswaat Logo</t>
  </si>
  <si>
    <t>MS CAP SEAL PRINTED 50 MM (VISWAAT LOGO)</t>
  </si>
  <si>
    <t>TSCAP</t>
  </si>
  <si>
    <t>CAPSL-PR-V53</t>
  </si>
  <si>
    <t>50mm / Hsc Logo</t>
  </si>
  <si>
    <t>MS CAP SEAL PRINTED 50 MM (HSC LOGO)</t>
  </si>
  <si>
    <t>VENT</t>
  </si>
  <si>
    <t>CAPSL-PR-V54</t>
  </si>
  <si>
    <t>50mm / Unitop Logo</t>
  </si>
  <si>
    <t>WMD-100</t>
  </si>
  <si>
    <t>Wide Mouth Drum - 100.0 LTR</t>
  </si>
  <si>
    <t>MS CAP SEAL PRINTED 50 MM (UNITOP LOGO)</t>
  </si>
  <si>
    <t>CAPSL-PR-V55</t>
  </si>
  <si>
    <t>WMD-25</t>
  </si>
  <si>
    <t>Wide Mouth Drum - 25.0 LTR</t>
  </si>
  <si>
    <t>50mm / Apl Logo</t>
  </si>
  <si>
    <t>MS CAP SEAL PRINTED 50 MM (APL LOGO)</t>
  </si>
  <si>
    <t>WMD-30</t>
  </si>
  <si>
    <t>CAPSL-PR-V56</t>
  </si>
  <si>
    <t>Wide Mouth Drum - 30.0 LTR</t>
  </si>
  <si>
    <t>50mm / Indofil Industries Ltd</t>
  </si>
  <si>
    <t>MS CAP SEAL PRINTED 50 MM (INDOFIL INDUSTRIES LTD)</t>
  </si>
  <si>
    <t>WMD-50</t>
  </si>
  <si>
    <t>Wide Mouth Drum - 50.0 LTR</t>
  </si>
  <si>
    <t>CAPSL-PR-V57</t>
  </si>
  <si>
    <t>50mm / Vr Petrochem Llp</t>
  </si>
  <si>
    <t>MS CAP SEAL PRINTED 50 MM (VR PETROCHEM LLP)</t>
  </si>
  <si>
    <t>CAPSL-PR-V59</t>
  </si>
  <si>
    <t>50mm / Deepak Logo</t>
  </si>
  <si>
    <t>MS CAP SEAL PRINTED 50 MM (DEEPAK LOGO)</t>
  </si>
  <si>
    <t>CAPSL-PR-V60</t>
  </si>
  <si>
    <t>50mm / Gacl Logo</t>
  </si>
  <si>
    <t>MS CAP SEAL PRINTED 50 MM (GACL LOGO)</t>
  </si>
  <si>
    <t>CAPSL-PR-V61</t>
  </si>
  <si>
    <t>50mm / Sauradip</t>
  </si>
  <si>
    <t>MS CAP SEAL PRINTED 50 MM (SAURADIP)</t>
  </si>
  <si>
    <t>CAPSL-PR-V62</t>
  </si>
  <si>
    <t>50mm / Advance</t>
  </si>
  <si>
    <t>MS CAP SEAL PRINTED 50 MM (ADVANCE)</t>
  </si>
  <si>
    <t>CAPSL-PR-V63</t>
  </si>
  <si>
    <t>50mm / Basf</t>
  </si>
  <si>
    <t>MS CAP SEAL PRINTED 50 MM (BASF)</t>
  </si>
  <si>
    <t>CAPSL-PR-V64</t>
  </si>
  <si>
    <t>50mm / Ciba</t>
  </si>
  <si>
    <t>MS CAP SEAL PRINTED 50 MM (CIBA)</t>
  </si>
  <si>
    <t>CAPSL-PR-V65</t>
  </si>
  <si>
    <t>50mm / Gnfc</t>
  </si>
  <si>
    <t>MS CAP SEAL PRINTED 50 MM (GNFC)</t>
  </si>
  <si>
    <t>CAPSL-PR-V66</t>
  </si>
  <si>
    <t>50mm / Gpcpl</t>
  </si>
  <si>
    <t>MS CAP SEAL PRINTED 50 MM (GPCPL)</t>
  </si>
  <si>
    <t>CAPSL-PR-V67</t>
  </si>
  <si>
    <t>50mm / Iol</t>
  </si>
  <si>
    <t>MS CAP SEAL PRINTED 50 MM (IOL)</t>
  </si>
  <si>
    <t>CAPSL-PR-V68</t>
  </si>
  <si>
    <t>50mm / Sika</t>
  </si>
  <si>
    <t>MS CAP SEAL PRINTED 50 MM (SIKA)</t>
  </si>
  <si>
    <t>CAPSL-PR-V69</t>
  </si>
  <si>
    <t>50mm / Stpl</t>
  </si>
  <si>
    <t>MS CAP SEAL PRINTED 50 MM (STPL)</t>
  </si>
  <si>
    <t>CAPSL-PR-V70</t>
  </si>
  <si>
    <t>50mm / Thomash</t>
  </si>
  <si>
    <t>MS CAP SEAL PRINTED 50 MM(THOMASH)</t>
  </si>
  <si>
    <t>CAPSL-PR-V71</t>
  </si>
  <si>
    <t>50mm / Dcgl Ahmedabad</t>
  </si>
  <si>
    <t>MS CAP SEAL PRINTED 50 MM (DCGL AHMEDABAD)</t>
  </si>
  <si>
    <t>8309</t>
  </si>
  <si>
    <t>CAPSL-PR-V72</t>
  </si>
  <si>
    <t>50mm / Dcgl Sayakha</t>
  </si>
  <si>
    <t>MS CAP SEAL PRINTED 50 MM (DCGL SAYAKHA)</t>
  </si>
  <si>
    <t>CAPSL-V18</t>
  </si>
  <si>
    <t>70 MM CAP SEAL (IBC)</t>
  </si>
  <si>
    <t>CAPSL-V58</t>
  </si>
  <si>
    <t>Vinyalring</t>
  </si>
  <si>
    <t>MS CAP SEAL PLAIN (VINYALRING)</t>
  </si>
  <si>
    <t>CAPSPN-V43</t>
  </si>
  <si>
    <t>Ibc</t>
  </si>
  <si>
    <t>CAP SPANNER (IBC)</t>
  </si>
  <si>
    <t>82041110</t>
  </si>
  <si>
    <t>CLCV-V410</t>
  </si>
  <si>
    <t>CLICHING COVER ROUND</t>
  </si>
  <si>
    <t>CLCV-V411</t>
  </si>
  <si>
    <t>CLICHING COVER SQUARE</t>
  </si>
  <si>
    <t>CRNP-BLK</t>
  </si>
  <si>
    <t>Black</t>
  </si>
  <si>
    <t>CORNER PROTECTOR (BLACK)</t>
  </si>
  <si>
    <t>CRNP-RED</t>
  </si>
  <si>
    <t>Red</t>
  </si>
  <si>
    <t>CORNER PROTECTOR (RED)</t>
  </si>
  <si>
    <t>CRNP-YEL</t>
  </si>
  <si>
    <t>Yellow</t>
  </si>
  <si>
    <t>CORNER PROTECTOR (YELLOW)</t>
  </si>
  <si>
    <t>DGCAP-6IN-BLK</t>
  </si>
  <si>
    <t>Black / Ibc</t>
  </si>
  <si>
    <t>6" DG CAP BLACK (IBC)</t>
  </si>
  <si>
    <t>DGCAP-6IN-RED</t>
  </si>
  <si>
    <t>Red / Ibc</t>
  </si>
  <si>
    <t>6" DG CAP RED (IBC)</t>
  </si>
  <si>
    <t>DMYCAP-BLK</t>
  </si>
  <si>
    <t>DUMMY CAP BLACK</t>
  </si>
  <si>
    <t>DMYCAP-V9</t>
  </si>
  <si>
    <t>50mm</t>
  </si>
  <si>
    <t>50 MM DUMMY CAP</t>
  </si>
  <si>
    <t>DRPN-V416</t>
  </si>
  <si>
    <t>DRIP PAN</t>
  </si>
  <si>
    <t>ELB-V426</t>
  </si>
  <si>
    <t>ELBOW (IBC)</t>
  </si>
  <si>
    <t>FOTCAP-10IN-BLK</t>
  </si>
  <si>
    <t>10" FOT CAP BLACK</t>
  </si>
  <si>
    <t>FOTCAP-10IN-BLU</t>
  </si>
  <si>
    <t>Blue</t>
  </si>
  <si>
    <t>10" FOT CAP BLUE</t>
  </si>
  <si>
    <t>FOTCAP-14IN-BLK</t>
  </si>
  <si>
    <t>14" FOT CAP BLACK</t>
  </si>
  <si>
    <t>FOTCAP-14IN-BLU</t>
  </si>
  <si>
    <t>14" FOT CAP BLUE</t>
  </si>
  <si>
    <t>FOTCAP-14IN-GRN</t>
  </si>
  <si>
    <t>Green</t>
  </si>
  <si>
    <t>14" FOT CAP GREEN</t>
  </si>
  <si>
    <t>FOTCAP-21IN-BLK</t>
  </si>
  <si>
    <t>21" FOT CAP BLACK</t>
  </si>
  <si>
    <t>FOTD-210-BLU-100KG</t>
  </si>
  <si>
    <t>Blue / 10.0 KG</t>
  </si>
  <si>
    <t>210 LTR BLUE FOT 10.0 KG</t>
  </si>
  <si>
    <t>39233090</t>
  </si>
  <si>
    <t>FOTD-210-BLU-102KG</t>
  </si>
  <si>
    <t>Blue / 10.2 KG</t>
  </si>
  <si>
    <t>210 LTR BLUE FOT 10.2 KG</t>
  </si>
  <si>
    <t>FOTD-210-BLU-85KG</t>
  </si>
  <si>
    <t>Blue / 8.5 KG</t>
  </si>
  <si>
    <t>210 LTR BLUE FOT 8.5 KG</t>
  </si>
  <si>
    <t>FOTD-210-BLU-90KG</t>
  </si>
  <si>
    <t>Blue / 9.0 KG</t>
  </si>
  <si>
    <t>210 LTR BLUE FOT 9.0 KG</t>
  </si>
  <si>
    <t>FOTD-210-BLU-92KG</t>
  </si>
  <si>
    <t>Blue / 9.2 KG</t>
  </si>
  <si>
    <t>210 LTR BLUE FOT 9.2 KG</t>
  </si>
  <si>
    <t>FOTD-210-BLU-94KG</t>
  </si>
  <si>
    <t>Blue / 9.4 KG</t>
  </si>
  <si>
    <t>210 LTR BLUE FOT 9.4 KG</t>
  </si>
  <si>
    <t>FOTD-210-BLU-95KG</t>
  </si>
  <si>
    <t>Blue / 9.5 KG</t>
  </si>
  <si>
    <t>210 LTR BLUE FOT 9.5 KG</t>
  </si>
  <si>
    <t>FOTD-210-BLU-97KG</t>
  </si>
  <si>
    <t>Blue / 9.7 KG</t>
  </si>
  <si>
    <t>210 LTR BLUE FOT 9.7 KG</t>
  </si>
  <si>
    <t>FOTD-210-BLU-98KG</t>
  </si>
  <si>
    <t>Blue / 9.8 KG</t>
  </si>
  <si>
    <t>210 LTR BLUE FOT  9.8  KG</t>
  </si>
  <si>
    <t>FOTD-210-GRN-665KG</t>
  </si>
  <si>
    <t>Green / 6.65 KG</t>
  </si>
  <si>
    <t>210 LTR GREEN FOT 6.65 KG</t>
  </si>
  <si>
    <t>FOTD-210-GRN-85KG</t>
  </si>
  <si>
    <t>Green / 8.5 KG</t>
  </si>
  <si>
    <t>210 LTR GREEN FOT  8.5 KG</t>
  </si>
  <si>
    <t>FOTD-210-GRN-94KG</t>
  </si>
  <si>
    <t>Green / 9.4 KG</t>
  </si>
  <si>
    <t>210 LTR GREEN FOT 9.4 KG</t>
  </si>
  <si>
    <t>FOTD-210-GRY-94KG</t>
  </si>
  <si>
    <t>Grey / 9.4 KG</t>
  </si>
  <si>
    <t>210 LTR GREY FOT 9.4 KG</t>
  </si>
  <si>
    <t>FOTD-210-RED-94KG</t>
  </si>
  <si>
    <t>Red / 9.4 KG</t>
  </si>
  <si>
    <t>210 LTR RED FOT 9.4 KG</t>
  </si>
  <si>
    <t>FOTD-210-YEL-76KG</t>
  </si>
  <si>
    <t>Yellow / 7.6 KG</t>
  </si>
  <si>
    <t>210 LTR YELLOW FOT 7.6 KG</t>
  </si>
  <si>
    <t>FOTD-210-YEL-95KG</t>
  </si>
  <si>
    <t>Yellow / 9.5 KG</t>
  </si>
  <si>
    <t>210 LTR YELLOW FOT 9.5 KG</t>
  </si>
  <si>
    <t>FOTD-220-BLU-75KG</t>
  </si>
  <si>
    <t>Blue / 7.5 KG</t>
  </si>
  <si>
    <t>220 LTR BLUE FOT 7.5 KG</t>
  </si>
  <si>
    <t>FOTD-220-BLU-79KG</t>
  </si>
  <si>
    <t>Blue / 7.9 KG</t>
  </si>
  <si>
    <t>220 LTR BLUE FOT 7.9 KG</t>
  </si>
  <si>
    <t>FOTD-220-BLU-94KG</t>
  </si>
  <si>
    <t>220 LTR BLUE FOT 9.4 KG</t>
  </si>
  <si>
    <t>FOTD-220-BLU-95KG</t>
  </si>
  <si>
    <t>220 LTR BLUE FOT 9.5 KG</t>
  </si>
  <si>
    <t>FOTD-220-BLU-98KG</t>
  </si>
  <si>
    <t>220 LTR BLUE FOT 9.8 KG</t>
  </si>
  <si>
    <t>FOTD-220-WHT-75KG</t>
  </si>
  <si>
    <t>White / 7.5 KG</t>
  </si>
  <si>
    <t>220 LTR WHITE FOT 7.5 KG</t>
  </si>
  <si>
    <t>FOTD-235-BLU-755KG</t>
  </si>
  <si>
    <t>Blue / 7.55 KG</t>
  </si>
  <si>
    <t>235 LTR BLUE FOT 7.55 KG</t>
  </si>
  <si>
    <t>FOTD-235-BLU-76KG</t>
  </si>
  <si>
    <t>Blue / 7.6 KG</t>
  </si>
  <si>
    <t>235 LTR BLUE FOT 7.6 KG</t>
  </si>
  <si>
    <t>FOTD-235-BLU-78KG</t>
  </si>
  <si>
    <t>Blue / 7.8 KG</t>
  </si>
  <si>
    <t>235 LTR BLUE FOT 7.8 KG</t>
  </si>
  <si>
    <t>FOTD-235-BLU-795KG</t>
  </si>
  <si>
    <t>Blue / 7.95 KG</t>
  </si>
  <si>
    <t>235 LTR BLUE FOT 7.95 KG</t>
  </si>
  <si>
    <t>FOTD-235-BLU-79KG</t>
  </si>
  <si>
    <t>235 LTR BLUE FOT 7.9 KG</t>
  </si>
  <si>
    <t>FOTD-235-BLU-94KG</t>
  </si>
  <si>
    <t>235 LTR BLUE FOT 9.4 KG</t>
  </si>
  <si>
    <t>FOTD-235-BLU-95KG</t>
  </si>
  <si>
    <t>235 LTR BLUE FOT 9.5 KG</t>
  </si>
  <si>
    <t>FOTD-235-BLU-96KG</t>
  </si>
  <si>
    <t>Blue / 9.6 KG</t>
  </si>
  <si>
    <t>235 LTR BLUE FOT 9.6 KG</t>
  </si>
  <si>
    <t>FOTD-235-BLU-97KG-1</t>
  </si>
  <si>
    <t>235 LTR BLUE FOT  9.7 KG</t>
  </si>
  <si>
    <t>FOTD-235-BLU-97KG-2</t>
  </si>
  <si>
    <t>235 LTR BLUE FOT 9.7 KG</t>
  </si>
  <si>
    <t>FOTD-235-BLU-98KG</t>
  </si>
  <si>
    <t>235 LTR BLUE FOT 9.8 KG</t>
  </si>
  <si>
    <t>FOTD-235-BLU-99KG</t>
  </si>
  <si>
    <t>Blue / 9.9 KG</t>
  </si>
  <si>
    <t>235 LTR BLUE FOT 9.9 KG</t>
  </si>
  <si>
    <t>FOTD-240-BLU-76KG</t>
  </si>
  <si>
    <t>240 LTR BLUE FOT 7.6 KG</t>
  </si>
  <si>
    <t>FOTD-240-BLU-78KG</t>
  </si>
  <si>
    <t>240 LTR BLUE FOT 7.8 KG</t>
  </si>
  <si>
    <t>FOTD-240-BLU-95KG</t>
  </si>
  <si>
    <t>240 LTR BLUE FOT 9.5 KG</t>
  </si>
  <si>
    <t>FOTD-240-BLU-97KG</t>
  </si>
  <si>
    <t>240 LTR BLUE FOT 9.7 KG</t>
  </si>
  <si>
    <t>FOTD-30-BLU-18KG</t>
  </si>
  <si>
    <t>Blue / 1.8 KG</t>
  </si>
  <si>
    <t>30 LTR BLUE FOT 1.8 KG</t>
  </si>
  <si>
    <t>FOTD-30-BLU-20KG</t>
  </si>
  <si>
    <t>Blue / 2.0 KG</t>
  </si>
  <si>
    <t>30 LTR BLUE FOT 2.0 KG</t>
  </si>
  <si>
    <t>FOTD-35-BLU-18KG</t>
  </si>
  <si>
    <t>35 LTR BLUE FOT 1.8 KG</t>
  </si>
  <si>
    <t>FOTD-35-BLU-20KG</t>
  </si>
  <si>
    <t>35 LTR BLUE FOT 2.0 KG</t>
  </si>
  <si>
    <t>FOTD-35-BLU-25KG</t>
  </si>
  <si>
    <t>Blue / 2.5 KG</t>
  </si>
  <si>
    <t>35 LTR BLUE FOT 2.5 KG</t>
  </si>
  <si>
    <t>FOTD-50-BLU-186KG</t>
  </si>
  <si>
    <t>Blue / 1.86 KG</t>
  </si>
  <si>
    <t>50 LTR BLUE FOT 1.86 KG</t>
  </si>
  <si>
    <t>FOTD-50-BLU-196KG</t>
  </si>
  <si>
    <t>Blue / 1.96 KG</t>
  </si>
  <si>
    <t>50 LTR BLUE FOT 1.96 KG</t>
  </si>
  <si>
    <t>FOTD-50-BLU-216KG</t>
  </si>
  <si>
    <t>Blue / 2.16 KG</t>
  </si>
  <si>
    <t>50 LTR BLUE FOT 2.16 KG</t>
  </si>
  <si>
    <t>FOTD-50-BLU-24KG</t>
  </si>
  <si>
    <t>Blue / 2.4 KG</t>
  </si>
  <si>
    <t>50 LTR BLUE FOT 2.4 KG</t>
  </si>
  <si>
    <t>FOTD-50-BLU-25KG</t>
  </si>
  <si>
    <t>50 LTR BLUE FOT 2.5 KG</t>
  </si>
  <si>
    <t>FOTD-50-BLU-26KG</t>
  </si>
  <si>
    <t>Blue / 2.6 KG</t>
  </si>
  <si>
    <t>50 LTR BLUE FOT 2.6 KG</t>
  </si>
  <si>
    <t>FOTD-50-BLU-28KG</t>
  </si>
  <si>
    <t>Blue / 2.8 KG</t>
  </si>
  <si>
    <t>50 LTR BLUE FOT 2.8 KG</t>
  </si>
  <si>
    <t>FOTD-50-BLU-30KG</t>
  </si>
  <si>
    <t>Blue / 3.0 KG</t>
  </si>
  <si>
    <t>50 LTR BLUE FOT 3.0 KG</t>
  </si>
  <si>
    <t>FOTD-50-GRN-216KG</t>
  </si>
  <si>
    <t>Green / 2.16 KG</t>
  </si>
  <si>
    <t>50 LTR GREEN FOT 2.16 KG</t>
  </si>
  <si>
    <t>FOTD-50-GRN-28KG</t>
  </si>
  <si>
    <t>Green / 2.8 KG</t>
  </si>
  <si>
    <t>50 LTR GREEN FOT 2.8 KG</t>
  </si>
  <si>
    <t>FOTD-50-GRN-30KG</t>
  </si>
  <si>
    <t>Green / 3.0 KG</t>
  </si>
  <si>
    <t>50 LTR GREEN FOT 3.0 KG</t>
  </si>
  <si>
    <t>FOTD-50-ORG-184KG</t>
  </si>
  <si>
    <t>Orange / 1.84 KG</t>
  </si>
  <si>
    <t>50 LTR ORANGE FOT 1.84 KG</t>
  </si>
  <si>
    <t>FOTD-50-ORG-27KG</t>
  </si>
  <si>
    <t>Orange / 2.7 KG</t>
  </si>
  <si>
    <t>50 LTR ORANGE FOT 2.7 KG</t>
  </si>
  <si>
    <t>FOTD-50-WHT-196KG</t>
  </si>
  <si>
    <t>White / 1.96 KG</t>
  </si>
  <si>
    <t>50 LTR WHITE FOT 1.96 KG</t>
  </si>
  <si>
    <t>FOTD-50-WHT-25KG</t>
  </si>
  <si>
    <t>White / 2.5 KG</t>
  </si>
  <si>
    <t>50 LTR WHITE FOT 2.5 KG</t>
  </si>
  <si>
    <t>FOTD-50-WHT-26KG</t>
  </si>
  <si>
    <t>White / 2.6 KG</t>
  </si>
  <si>
    <t>50 LTR WHITE FOT 2.6 KG</t>
  </si>
  <si>
    <t>FOTD-50-WHT-28KG</t>
  </si>
  <si>
    <t>White / 2.8 KG</t>
  </si>
  <si>
    <t>50 LTR WHITE FOT 2.8 KG</t>
  </si>
  <si>
    <t>FOTD-50-YEL-196KG</t>
  </si>
  <si>
    <t>Yellow / 1.96 KG</t>
  </si>
  <si>
    <t>50 LTR YELLOW FOT 1.96 KG</t>
  </si>
  <si>
    <t>FOTD-50-YEL-28KG</t>
  </si>
  <si>
    <t>Yellow / 2.8 KG</t>
  </si>
  <si>
    <t>50 LTR YELLOW FOT 2.8 KG</t>
  </si>
  <si>
    <t>FOTD-60-BLU-216KG</t>
  </si>
  <si>
    <t>60 LTR BLUE FOT 2.16 KG</t>
  </si>
  <si>
    <t>FOTD-60-BLU-226KG</t>
  </si>
  <si>
    <t>Blue / 2.26 KG</t>
  </si>
  <si>
    <t>60 LTR BLUE FOT 2.260 KG</t>
  </si>
  <si>
    <t>FOTD-60-BLU-246KG</t>
  </si>
  <si>
    <t>Blue / 2.46 KG</t>
  </si>
  <si>
    <t>60 LTR BLUE FOT 2.46 KG</t>
  </si>
  <si>
    <t>FOTD-60-BLU-25KG</t>
  </si>
  <si>
    <t>60 LTR BLUE FOT 2.5 KG</t>
  </si>
  <si>
    <t>FOTD-60-BLU-266KG</t>
  </si>
  <si>
    <t>Blue / 2.66 KG</t>
  </si>
  <si>
    <t>60 LTR BLUE FOT 2.66 KG</t>
  </si>
  <si>
    <t>FOTD-60-BLU-28KG</t>
  </si>
  <si>
    <t>60 LTR BLUE FOT 2.8 KG</t>
  </si>
  <si>
    <t>FOTD-60-BLU-30KG</t>
  </si>
  <si>
    <t>60 LTR BLUE FOT 3.0 KG</t>
  </si>
  <si>
    <t>FOTD-60-BLU-316KG</t>
  </si>
  <si>
    <t>Blue / 3.16 KG</t>
  </si>
  <si>
    <t>60 LTR BLUE FOT 3.16 KG</t>
  </si>
  <si>
    <t>FOTD-60-BLU-35KG</t>
  </si>
  <si>
    <t>Blue / 3.5 KG</t>
  </si>
  <si>
    <t>60 LTR BLUE FOT 3.5 KG</t>
  </si>
  <si>
    <t>FOTD-60-BLU-40KG</t>
  </si>
  <si>
    <t>Blue / 4.0 KG</t>
  </si>
  <si>
    <t>60 LTR BLUE FOT 4.0 KG</t>
  </si>
  <si>
    <t>FOTD-60-GRN-216KG</t>
  </si>
  <si>
    <t>60 LTR GREEN FOT 2.16 KG</t>
  </si>
  <si>
    <t>FOTD-60-GRN-30KG</t>
  </si>
  <si>
    <t>60 LTR GREEN FOT 3.0 KG</t>
  </si>
  <si>
    <t>FOTD-60-WHT-246KG</t>
  </si>
  <si>
    <t>White / 2.46 KG</t>
  </si>
  <si>
    <t>60 LTR WHITE FOT 2.460 KG</t>
  </si>
  <si>
    <t>FOTD-60-WHT-27KG</t>
  </si>
  <si>
    <t>White / 2.7 KG</t>
  </si>
  <si>
    <t>60 LTR WHITE FOT 2.7 kg</t>
  </si>
  <si>
    <t>FOTD-60-WHT-28KG</t>
  </si>
  <si>
    <t>60 LTR WHITE FOT 2.8 KG</t>
  </si>
  <si>
    <t>FOTD-60-WHT-30KG</t>
  </si>
  <si>
    <t>White / 3.0 KG</t>
  </si>
  <si>
    <t>60 LTR WHITE FOT 3.0 kg</t>
  </si>
  <si>
    <t>FOTLOCK-V161</t>
  </si>
  <si>
    <t>FOT LOCK</t>
  </si>
  <si>
    <t>FOTPLRING-BLK</t>
  </si>
  <si>
    <t>10" FOT PLASTIC RING BLACK</t>
  </si>
  <si>
    <t>FOTRBRING-V77</t>
  </si>
  <si>
    <t>10" FOT RUBBER RING</t>
  </si>
  <si>
    <t>40169340</t>
  </si>
  <si>
    <t>FOTRBRING-WHT</t>
  </si>
  <si>
    <t>White</t>
  </si>
  <si>
    <t>10" FOT RUBBER RING- WHITE</t>
  </si>
  <si>
    <t>HDL-BLK</t>
  </si>
  <si>
    <t>HANDLE BLACK</t>
  </si>
  <si>
    <t>HDL-BLU</t>
  </si>
  <si>
    <t>HANDLE BLUE</t>
  </si>
  <si>
    <t>HDL-BRN</t>
  </si>
  <si>
    <t>Brown</t>
  </si>
  <si>
    <t>HANDLE BROWN</t>
  </si>
  <si>
    <t>HDL-GRN</t>
  </si>
  <si>
    <t>HANDLE GREEN</t>
  </si>
  <si>
    <t>HDL-RED</t>
  </si>
  <si>
    <t>HANDLE RED</t>
  </si>
  <si>
    <t>HDL-YEL</t>
  </si>
  <si>
    <t>HANDLE YELLOW</t>
  </si>
  <si>
    <t>INS-10IN-V163</t>
  </si>
  <si>
    <t>10" INSERT</t>
  </si>
  <si>
    <t>INS-1IN-V162</t>
  </si>
  <si>
    <t>1" INSERT</t>
  </si>
  <si>
    <t>INS-2IN-V164</t>
  </si>
  <si>
    <t>2'' INSERT</t>
  </si>
  <si>
    <t>INS-2IN-V165</t>
  </si>
  <si>
    <t>2" VENT INSERT</t>
  </si>
  <si>
    <t>3923</t>
  </si>
  <si>
    <t>INS-6IN-V166</t>
  </si>
  <si>
    <t>6" INSERT</t>
  </si>
  <si>
    <t>INS-8IN-V167</t>
  </si>
  <si>
    <t>8" INSERT</t>
  </si>
  <si>
    <t>INS-V168</t>
  </si>
  <si>
    <t>M/Z INSERT</t>
  </si>
  <si>
    <t>JC-25-BLU-12KG</t>
  </si>
  <si>
    <t>Blue / 1.2 KG</t>
  </si>
  <si>
    <t>25 LTR BLUE J/C 1.2 KG</t>
  </si>
  <si>
    <t>JC-30-BLK-20KG</t>
  </si>
  <si>
    <t>Black / 2.0 KG</t>
  </si>
  <si>
    <t>30 LTR BLACK J/C 2.00 KG</t>
  </si>
  <si>
    <t>JC-30-BLU-16KG</t>
  </si>
  <si>
    <t>Blue / 1.6 KG</t>
  </si>
  <si>
    <t>30 LTR BLUE J/C 1.6 KG</t>
  </si>
  <si>
    <t>JC-30-BLU-20KG</t>
  </si>
  <si>
    <t>30 LTR BLUE J/C 2.0 KG</t>
  </si>
  <si>
    <t>JC-30-YEL-196KG</t>
  </si>
  <si>
    <t>30 LTR YELLOW J/C 1.96 KG</t>
  </si>
  <si>
    <t>JC-30-YEL-20KG</t>
  </si>
  <si>
    <t>Yellow / 2.0 KG</t>
  </si>
  <si>
    <t>30 LTR YELLOW J/C 2.0 KG</t>
  </si>
  <si>
    <t>JC-35-BLK-18KG</t>
  </si>
  <si>
    <t>Black / 1.8 KG</t>
  </si>
  <si>
    <t>35 LTR BLACK J/C 1.8 KG</t>
  </si>
  <si>
    <t>JC-35-BLK-19KG</t>
  </si>
  <si>
    <t>Black / 1.9 KG</t>
  </si>
  <si>
    <t>35 LTR BLACK J/C 1.9 KG</t>
  </si>
  <si>
    <t>JC-35-BLK-20KG</t>
  </si>
  <si>
    <t>35 LTR BLACK J/C 2.0 KG</t>
  </si>
  <si>
    <t>JC-35-BLU-16KG</t>
  </si>
  <si>
    <t>35 LTR BLUE J/C 1.6 KG</t>
  </si>
  <si>
    <t>JC-35-BLU-176KG</t>
  </si>
  <si>
    <t>Blue / 1.76 KG</t>
  </si>
  <si>
    <t>35 LTR BLUE J/C 1.760 KG</t>
  </si>
  <si>
    <t>JC-35-BLU-18KG-1</t>
  </si>
  <si>
    <t>35 LTR BLUE  J/C 1.8 KG</t>
  </si>
  <si>
    <t>JC-35-BLU-18KG-2</t>
  </si>
  <si>
    <t>35 LTR BLUE J/C 1.8 KG</t>
  </si>
  <si>
    <t>JC-35-BLU-19KG</t>
  </si>
  <si>
    <t>Blue / 1.9 KG</t>
  </si>
  <si>
    <t>35 LTR BLUE J/C 1.9 KG</t>
  </si>
  <si>
    <t>JC-35-BLU-20KG-1</t>
  </si>
  <si>
    <t>35 LTR BLUE J/C 2.0 KG</t>
  </si>
  <si>
    <t>JC-35-BLU-20KG-2</t>
  </si>
  <si>
    <t>JC-35-BLU-21KG</t>
  </si>
  <si>
    <t>Blue / 2.1 KG</t>
  </si>
  <si>
    <t>35 LTR BLUE J/C 2.1 KG</t>
  </si>
  <si>
    <t>JC-35-BLU-225KG</t>
  </si>
  <si>
    <t>Blue / 2.25 KG</t>
  </si>
  <si>
    <t>35 LTR BLUE J/C 2.25 KG</t>
  </si>
  <si>
    <t>JC-35-BLU-22KG</t>
  </si>
  <si>
    <t>Blue / 2.2 KG</t>
  </si>
  <si>
    <t>35 LTR BLUE J/C 2.2 KG</t>
  </si>
  <si>
    <t>JC-35-BLU-23KG</t>
  </si>
  <si>
    <t>Blue / 2.3 KG</t>
  </si>
  <si>
    <t>35 LTR BLUE J/C 2.300 KG</t>
  </si>
  <si>
    <t>JC-35-BLU-25KG</t>
  </si>
  <si>
    <t>35 LTR BLUE J/C 2.5 KG</t>
  </si>
  <si>
    <t>JC-35-GRN-16KG</t>
  </si>
  <si>
    <t>Green / 1.6 KG</t>
  </si>
  <si>
    <t>35 LTR GREEN J/C 1.6 KG</t>
  </si>
  <si>
    <t>JC-35-YEL-18KG</t>
  </si>
  <si>
    <t>Yellow / 1.8 KG</t>
  </si>
  <si>
    <t>35 LTR YELLOW J/C 1.8 KG</t>
  </si>
  <si>
    <t>JC-35-YEL-20KG</t>
  </si>
  <si>
    <t>35 LTR YELLOW J/C 2.0 kg</t>
  </si>
  <si>
    <t>JC-40-BLU-176KG</t>
  </si>
  <si>
    <t>40 LTR BLUE J/C 1.76 KG</t>
  </si>
  <si>
    <t>JC-40-BLU-18KG-1</t>
  </si>
  <si>
    <t>40 LTR BLUE J/C 1.8 KG</t>
  </si>
  <si>
    <t>JC-40-BLU-18KG-2</t>
  </si>
  <si>
    <t>40 LTR BLUE SQUARE J/C 1.8 KG</t>
  </si>
  <si>
    <t>JC-40-BLU-20KG</t>
  </si>
  <si>
    <t>40 LTR BLUE  J/C 2.0 kg</t>
  </si>
  <si>
    <t>LUG-BLK</t>
  </si>
  <si>
    <t>LUGS BLACK</t>
  </si>
  <si>
    <t>LUG-BLU</t>
  </si>
  <si>
    <t>LUGS BLUE</t>
  </si>
  <si>
    <t>LUG-GRN</t>
  </si>
  <si>
    <t>LUGS GREEN</t>
  </si>
  <si>
    <t>LUG-ORG</t>
  </si>
  <si>
    <t>LUGS ORANGE</t>
  </si>
  <si>
    <t>LUG-WHT</t>
  </si>
  <si>
    <t>LUGS WHITE</t>
  </si>
  <si>
    <t>MISC-RED</t>
  </si>
  <si>
    <t>PLASTIC CAPSEAL (RED)</t>
  </si>
  <si>
    <t>MSRING-10IN-WHT</t>
  </si>
  <si>
    <t>10" MS RING WHITE</t>
  </si>
  <si>
    <t>MSRING-10IN-YEL</t>
  </si>
  <si>
    <t>10" MS RING YELLOW</t>
  </si>
  <si>
    <t>MSRING-14IN-BLK</t>
  </si>
  <si>
    <t>14" MS RING BLACK</t>
  </si>
  <si>
    <t>73269099</t>
  </si>
  <si>
    <t>MSRING-14IN-GLD</t>
  </si>
  <si>
    <t>Gold</t>
  </si>
  <si>
    <t>14" MS RING GOLD PLATING</t>
  </si>
  <si>
    <t>MSRING-14IN-WHT</t>
  </si>
  <si>
    <t>14'' MS RING WHITE POWDER COATING</t>
  </si>
  <si>
    <t>MSRING-19IN-BLK</t>
  </si>
  <si>
    <t>19" MS RING BLACK POWDER COATING</t>
  </si>
  <si>
    <t>MSRING-19IN-V355</t>
  </si>
  <si>
    <t>19'' MS RING GOLDEN PLATING</t>
  </si>
  <si>
    <t>MZC-20-BLU-12KG</t>
  </si>
  <si>
    <t>20 LTR BLUE M/Z 1.2 KG</t>
  </si>
  <si>
    <t>MZC-20-BLU-16KG</t>
  </si>
  <si>
    <t>20 LTR BLUE M/Z 1.6 KG</t>
  </si>
  <si>
    <t>MZC-20-YEL-14KG</t>
  </si>
  <si>
    <t>Yellow / 1.4 KG</t>
  </si>
  <si>
    <t>20 LTR YELLOW M/Z 1.4 KG</t>
  </si>
  <si>
    <t>MZC-25-BLU-12KG</t>
  </si>
  <si>
    <t>25 LTR BLUE M/Z 1.2 KG</t>
  </si>
  <si>
    <t>MZC-25-BLU-14KG</t>
  </si>
  <si>
    <t>Blue / 1.4 KG</t>
  </si>
  <si>
    <t>25 LTR BLUE M/Z 1.4 KG</t>
  </si>
  <si>
    <t>MZC-25-BLU-15KG</t>
  </si>
  <si>
    <t>Blue / 1.5 KG</t>
  </si>
  <si>
    <t>25 LTR BLUE M/Z 1.5 KG</t>
  </si>
  <si>
    <t>MZC-25-BLU-16KG</t>
  </si>
  <si>
    <t>25 LTRS BLUE M/Z 1.6 KG</t>
  </si>
  <si>
    <t>MZC-25-BLU-17KG</t>
  </si>
  <si>
    <t>Blue / 1.7 KG</t>
  </si>
  <si>
    <t>25 LTR BLUE M/Z 1.7 KG</t>
  </si>
  <si>
    <t>MZC-25-BLU-20KG</t>
  </si>
  <si>
    <t>25 LTR BLUE M/Z 2.0 KG</t>
  </si>
  <si>
    <t>MZC-30-BLU-16KG</t>
  </si>
  <si>
    <t>30 LTR BLUE M/Z 1.6 KG</t>
  </si>
  <si>
    <t>MZC-30-BLU-17KG</t>
  </si>
  <si>
    <t>30 LTR BLUE M/Z 1.7 KG</t>
  </si>
  <si>
    <t>MZC-30-BLU-18KG</t>
  </si>
  <si>
    <t>30 LTR BLUE M/Z 1.8 KG</t>
  </si>
  <si>
    <t>MZC-30-BLU-19KG</t>
  </si>
  <si>
    <t>30 LTR BLUE M/Z 1.9 KG</t>
  </si>
  <si>
    <t>MZC-30-BLU-20KG</t>
  </si>
  <si>
    <t>30 LTR BLUE M/Z 2.0 KG</t>
  </si>
  <si>
    <t>MZC-30-BLU-22KG</t>
  </si>
  <si>
    <t>30 LTR BLUE M/Z 2.2 KG</t>
  </si>
  <si>
    <t>MZC-30-BLU-25KG</t>
  </si>
  <si>
    <t>30 LTR BLUE M/Z 2.5 KG</t>
  </si>
  <si>
    <t>MZC-30-WHT-18KG</t>
  </si>
  <si>
    <t>White / 1.8 KG</t>
  </si>
  <si>
    <t>30 LTR WHITE M/Z 1.8 KG</t>
  </si>
  <si>
    <t>MZC-30-YEL-18KG</t>
  </si>
  <si>
    <t>30 LTR YELLOW M/Z 1.8 KG</t>
  </si>
  <si>
    <t>MZC-32-BLU-22KG</t>
  </si>
  <si>
    <t>32 LTR BLUE M/Z 2.2 KG</t>
  </si>
  <si>
    <t>MZC-32-WHT-22KG</t>
  </si>
  <si>
    <t>White / 2.2 KG</t>
  </si>
  <si>
    <t>32 LTR WHITE M/Z 2.2 KG</t>
  </si>
  <si>
    <t>MZC-35-BLK-16KG</t>
  </si>
  <si>
    <t>Black / 1.6 KG</t>
  </si>
  <si>
    <t>35 LTR BLACK M/Z 1.6 KG</t>
  </si>
  <si>
    <t>MZC-35-BLK-19KG</t>
  </si>
  <si>
    <t>35 LTR BLACK M/Z 1.9 KG</t>
  </si>
  <si>
    <t>MZC-35-BLU-1565KG</t>
  </si>
  <si>
    <t>Blue / 1.565 KG</t>
  </si>
  <si>
    <t>35 LTR BLUE M/Z 1.565 KG</t>
  </si>
  <si>
    <t>MZC-35-BLU-15KG</t>
  </si>
  <si>
    <t>35 LTR BLUE M/Z 1.5 KG</t>
  </si>
  <si>
    <t>MZC-35-BLU-16KG</t>
  </si>
  <si>
    <t>35 LTR BLUE M/Z 1.6 KG</t>
  </si>
  <si>
    <t>MZC-35-BLU-17KG</t>
  </si>
  <si>
    <t>35 LTR BLUE M/Z 1.7 KG</t>
  </si>
  <si>
    <t>MZC-35-BLU-18KG</t>
  </si>
  <si>
    <t>35 LTR BLUE M/Z 1.8 KG</t>
  </si>
  <si>
    <t>MZC-35-BLU-20KG</t>
  </si>
  <si>
    <t>35 LTR BLUE M/Z 2.0 KG</t>
  </si>
  <si>
    <t>MZC-35-BLU-21KG</t>
  </si>
  <si>
    <t>35 LTR BLUE M/Z 2.1 KG</t>
  </si>
  <si>
    <t>MZC-35-BLU-22KG</t>
  </si>
  <si>
    <t>35 LTR BLUE M/Z 2.2 KG</t>
  </si>
  <si>
    <t>MZC-35-BLU-25KG</t>
  </si>
  <si>
    <t>35 LTR BLUE M/Z 2.5 KG</t>
  </si>
  <si>
    <t>MZC-35-GRN-18KG</t>
  </si>
  <si>
    <t>Green / 1.8 KG</t>
  </si>
  <si>
    <t>35 LTR GREEN M/Z 1.8 KG</t>
  </si>
  <si>
    <t>MZC-35-WHT-18KG</t>
  </si>
  <si>
    <t>35 LTR WHITE M/Z 1.8 KG</t>
  </si>
  <si>
    <t>MZC-35-YEL-16KG</t>
  </si>
  <si>
    <t>Yellow / 1.6 KG</t>
  </si>
  <si>
    <t>35 LTR YELLOW M/Z 1.6 KG</t>
  </si>
  <si>
    <t>MZC-40-BLU-1765KG</t>
  </si>
  <si>
    <t>Blue / 1.765 KG</t>
  </si>
  <si>
    <t>40 LTR BLUE M/Z 1.765 KG</t>
  </si>
  <si>
    <t>MZC-40-BLU-18KG</t>
  </si>
  <si>
    <t>40 LTR BLUE M/Z 1.8 KG</t>
  </si>
  <si>
    <t>MZC-40-BLU-1965KG</t>
  </si>
  <si>
    <t>Blue / 1.965 KG</t>
  </si>
  <si>
    <t>40 LTR BLUE M/Z 1.965 KG</t>
  </si>
  <si>
    <t>MZC-40-BLU-20KG</t>
  </si>
  <si>
    <t>40 LTR BLUE M/Z 2.0 KG</t>
  </si>
  <si>
    <t>MZC-40-BLU-2165KG</t>
  </si>
  <si>
    <t>Blue / 2.165 KG</t>
  </si>
  <si>
    <t>40 LTR BLUE M/Z 2.165 KG</t>
  </si>
  <si>
    <t>MZC-40-BLU-225KG</t>
  </si>
  <si>
    <t>40 LTR BLUE M/Z 2.25 KG</t>
  </si>
  <si>
    <t>MZC-40-BLU-22KG</t>
  </si>
  <si>
    <t>40 LTR BLUE M/Z 2.2 KG</t>
  </si>
  <si>
    <t>MZC-40-GRN-1765KG</t>
  </si>
  <si>
    <t>Green / 1.765 KG</t>
  </si>
  <si>
    <t>40 LTR GREEN M/Z 1.765 KG</t>
  </si>
  <si>
    <t>MZC-40-GRN-18KG</t>
  </si>
  <si>
    <t>40 LTR GREEN M/Z 1.8 KG</t>
  </si>
  <si>
    <t>MZCAP-BLK-1</t>
  </si>
  <si>
    <t>M/Z CAP BLACK</t>
  </si>
  <si>
    <t>MZCAP-BLK-2</t>
  </si>
  <si>
    <t>Black / Mane Logo</t>
  </si>
  <si>
    <t>M/Z CAP BLACK (MANE LOGO)</t>
  </si>
  <si>
    <t>MZCAP-RED</t>
  </si>
  <si>
    <t>M/Z CAP RED</t>
  </si>
  <si>
    <t>MZCAP-V47</t>
  </si>
  <si>
    <t>M/Z CAP 70 MM</t>
  </si>
  <si>
    <t>MZCAP-YEL</t>
  </si>
  <si>
    <t>M/Z CAP YELLOW</t>
  </si>
  <si>
    <t>NMD-200-BLU-82KG</t>
  </si>
  <si>
    <t>Blue / 8.2 KG</t>
  </si>
  <si>
    <t>200  LTR BLUE N/M 8.2 KG</t>
  </si>
  <si>
    <t>NMD-210-78KG</t>
  </si>
  <si>
    <t>7.8 KG</t>
  </si>
  <si>
    <t>210 LTR MAROON N/M 7.8 KG</t>
  </si>
  <si>
    <t>NMD-210-BLK-105KG</t>
  </si>
  <si>
    <t>Black / 10.5 KG</t>
  </si>
  <si>
    <t>210 LTR BLACK N/M 10.5 KG</t>
  </si>
  <si>
    <t>NMD-210-BLK-106KG</t>
  </si>
  <si>
    <t>Black / 10.6 KG</t>
  </si>
  <si>
    <t>210 LTR BLACK N/M 10.6 KG</t>
  </si>
  <si>
    <t>NMD-210-BLK-78KG</t>
  </si>
  <si>
    <t>Black / 7.8 KG</t>
  </si>
  <si>
    <t>210 LTR BLACK N/M 7.8 KG</t>
  </si>
  <si>
    <t>NMD-210-BLK-85KG</t>
  </si>
  <si>
    <t>Black / 8.5 KG</t>
  </si>
  <si>
    <t>210 LTR BLACK N/M 8.5 KG</t>
  </si>
  <si>
    <t>NMD-210-BLK-92KG</t>
  </si>
  <si>
    <t>Black / 9.2 KG</t>
  </si>
  <si>
    <t>210 LTR BLACK N/M 9.2 KG</t>
  </si>
  <si>
    <t>NMD-210-BLU-100KG</t>
  </si>
  <si>
    <t>210 LTR BLUE N/M 10.0 KG</t>
  </si>
  <si>
    <t>NMD-210-BLU-102KG</t>
  </si>
  <si>
    <t>210 LTR BLUE N/M 10.2 KG</t>
  </si>
  <si>
    <t>NMD-210-BLU-104KG</t>
  </si>
  <si>
    <t>Blue / 10.4 KG</t>
  </si>
  <si>
    <t>210 LTR BLUE N/M 10.4 KG</t>
  </si>
  <si>
    <t>NMD-210-BLU-105KG</t>
  </si>
  <si>
    <t>Blue / 10.5 KG</t>
  </si>
  <si>
    <t>210 LTR BLUE N/M 10.5 KG</t>
  </si>
  <si>
    <t>NMD-210-BLU-106KG</t>
  </si>
  <si>
    <t>Blue / 10.6 KG</t>
  </si>
  <si>
    <t>210 LTR BLUE N/M 10.6 KG</t>
  </si>
  <si>
    <t>NMD-210-BLU-35KG</t>
  </si>
  <si>
    <t>210 LTR BLUE N/M INNER CONTAINER 3.5 KG</t>
  </si>
  <si>
    <t>NMD-210-BLU-55KG</t>
  </si>
  <si>
    <t>Blue / 5.5 KG</t>
  </si>
  <si>
    <t>210 LTR BLUE N/M INNER CONTAINER 5.5 KG</t>
  </si>
  <si>
    <t>NMD-210-BLU-75KG</t>
  </si>
  <si>
    <t>210 LTR BLUE N/M 7.5 KG</t>
  </si>
  <si>
    <t>NMD-210-BLU-76KG</t>
  </si>
  <si>
    <t>210 LTR BLUE N/M 7.6 KG</t>
  </si>
  <si>
    <t>NMD-210-BLU-78KG</t>
  </si>
  <si>
    <t>210 LTR BLUE N/M 7.8 KG</t>
  </si>
  <si>
    <t>NMD-210-BLU-80KG</t>
  </si>
  <si>
    <t>Blue / 8.0 KG</t>
  </si>
  <si>
    <t>210 LTR BLUE N/M 8.0 KG</t>
  </si>
  <si>
    <t>NMD-210-BLU-82KG</t>
  </si>
  <si>
    <t>210 LTR BLUE N/M 8.2 KG</t>
  </si>
  <si>
    <t>NMD-210-BLU-85KG</t>
  </si>
  <si>
    <t>210 LTR BLUE N/M 8.5 KG</t>
  </si>
  <si>
    <t>NMD-210-BLU-86KG</t>
  </si>
  <si>
    <t>Blue / 8.6 KG</t>
  </si>
  <si>
    <t>210 LTR BLUE N/M 8.6 KG</t>
  </si>
  <si>
    <t>NMD-210-BLU-90KG</t>
  </si>
  <si>
    <t>210 LTR BLUE N/M 9.0 KG</t>
  </si>
  <si>
    <t>NMD-210-BLU-92KG</t>
  </si>
  <si>
    <t>210 LTR BLUE N/M 9.2 KG</t>
  </si>
  <si>
    <t>NMD-210-BLU-94KG</t>
  </si>
  <si>
    <t>210 LTR BLUE N/M 9.4 KG</t>
  </si>
  <si>
    <t>NMD-210-BLU-95KG</t>
  </si>
  <si>
    <t>210 LTR BLUE N/M 9.5 KG</t>
  </si>
  <si>
    <t>NMD-210-BLU-96KG</t>
  </si>
  <si>
    <t>210 LTR BLUE N/M 9.6 KG</t>
  </si>
  <si>
    <t>NMD-210-GRN-100KG</t>
  </si>
  <si>
    <t>Green / 10.0 KG</t>
  </si>
  <si>
    <t>210 LTR GREEN N/M 10.0 KG</t>
  </si>
  <si>
    <t>NMD-210-GRN-106KG</t>
  </si>
  <si>
    <t>Green / 10.6 KG</t>
  </si>
  <si>
    <t>210 LTR GREEN N/M 10.6 KG</t>
  </si>
  <si>
    <t>NMD-210-GRN-78KG</t>
  </si>
  <si>
    <t>Green / 7.8 KG</t>
  </si>
  <si>
    <t>210 LTR GREEN N/M 7.8 KG</t>
  </si>
  <si>
    <t>NMD-210-GRN-795KG</t>
  </si>
  <si>
    <t>Green / 7.95 KG</t>
  </si>
  <si>
    <t>210 LTR GREEN N/M 7.95 KG</t>
  </si>
  <si>
    <t>NMD-210-GRN-80KG</t>
  </si>
  <si>
    <t>Green / 8.0 KG</t>
  </si>
  <si>
    <t>210 LTR GREEN N/M 8.0 KG</t>
  </si>
  <si>
    <t>NMD-210-GRN-815KG</t>
  </si>
  <si>
    <t>Green / 8.15 KG</t>
  </si>
  <si>
    <t>210 LTR GREEN N/M 8.15KG</t>
  </si>
  <si>
    <t>NMD-210-GRN-82KG</t>
  </si>
  <si>
    <t>Green / 8.2 KG</t>
  </si>
  <si>
    <t>210 LTR GREEN N/M 8.2 KG</t>
  </si>
  <si>
    <t>NMD-210-GRN-85KG</t>
  </si>
  <si>
    <t>210 LTR GREEN N/M 8.5 KG</t>
  </si>
  <si>
    <t>NMD-210-GRN-92KG</t>
  </si>
  <si>
    <t>Green / 9.2 KG</t>
  </si>
  <si>
    <t>210 LTR GREEN N/M 9.2 KG</t>
  </si>
  <si>
    <t>NMD-210-GRN-95KG</t>
  </si>
  <si>
    <t>Green / 9.5 KG</t>
  </si>
  <si>
    <t>210 LTR GREEN N/M 9.5 KG</t>
  </si>
  <si>
    <t>NMD-210-WHT-35KG</t>
  </si>
  <si>
    <t>White / 3.5 KG</t>
  </si>
  <si>
    <t>210 LTR WHITE N/M INNER CONTAINER 3.5 KG</t>
  </si>
  <si>
    <t>NMD-210-WHT-55KG</t>
  </si>
  <si>
    <t>White / 5.5 KG</t>
  </si>
  <si>
    <t>210 LTR WHITE N/M INNER CONTAINER 5.5 KG</t>
  </si>
  <si>
    <t>NMD-210-WHT-775KG</t>
  </si>
  <si>
    <t>White / 7.75 KG</t>
  </si>
  <si>
    <t>210 LTR WHITE N/M 7.75 KG</t>
  </si>
  <si>
    <t>NMD-210-WHT-78KG</t>
  </si>
  <si>
    <t>White / 7.8 KG</t>
  </si>
  <si>
    <t>210 LTR WHITE N/M 7.8 KG</t>
  </si>
  <si>
    <t>NMD-210-WHT-815KG</t>
  </si>
  <si>
    <t>White / 8.15 KG</t>
  </si>
  <si>
    <t>210 LTR WHITE N/M 8.15 KG</t>
  </si>
  <si>
    <t>NMD-210-WHT-82KG</t>
  </si>
  <si>
    <t>White / 8.2 KG</t>
  </si>
  <si>
    <t>210 LTR WHITE N/M 8.2 KG</t>
  </si>
  <si>
    <t>NMD-210-YEL-755KG</t>
  </si>
  <si>
    <t>Yellow / 7.55 KG</t>
  </si>
  <si>
    <t>210 LTR YELLOW N/M 7.55 KG</t>
  </si>
  <si>
    <t>NMD-210-YEL-76KG</t>
  </si>
  <si>
    <t>210 LTR YELLOW N/M  7.6 KG</t>
  </si>
  <si>
    <t>NMD-210-YEL-775KG</t>
  </si>
  <si>
    <t>Yellow / 7.75 KG</t>
  </si>
  <si>
    <t>210 LTR YELLOW N/M 7.75 KG</t>
  </si>
  <si>
    <t>NMD-210-YEL-78KG</t>
  </si>
  <si>
    <t>Yellow / 7.8 KG</t>
  </si>
  <si>
    <t>210 LTR YELLOW N/M 7.8 KG</t>
  </si>
  <si>
    <t>NMD-210-YEL-815KG</t>
  </si>
  <si>
    <t>Yellow / 8.15 KG</t>
  </si>
  <si>
    <t>210 LTR YELLOW N/M 8.15 KG</t>
  </si>
  <si>
    <t>NMD-210-YEL-82KG</t>
  </si>
  <si>
    <t>Yellow / 8.2 KG</t>
  </si>
  <si>
    <t>210 LTR YELLOW N/M 8.2 KG</t>
  </si>
  <si>
    <t>NMD-210-YEL-92KG</t>
  </si>
  <si>
    <t>Yellow / 9.2 KG</t>
  </si>
  <si>
    <t>210 LTR YELLOW N/M 9.2 KG</t>
  </si>
  <si>
    <t>NMD-220-BLU-78KG</t>
  </si>
  <si>
    <t>220 LTR BLUE N/M 7.8 KG</t>
  </si>
  <si>
    <t>NMD-220-BLU-815KG</t>
  </si>
  <si>
    <t>Blue / 8.15 KG</t>
  </si>
  <si>
    <t>220 LTR BLUE N/M 8.15 KG</t>
  </si>
  <si>
    <t>NMD-220-BLU-82KG</t>
  </si>
  <si>
    <t>220 LTR BLUE N/M 8.2 KG</t>
  </si>
  <si>
    <t>NMD-220-BLU-845KG</t>
  </si>
  <si>
    <t>Blue / 8.45 KG</t>
  </si>
  <si>
    <t>220 LTR BLUE N/M 8.45 KG</t>
  </si>
  <si>
    <t>NMD-220-BLU-85KG</t>
  </si>
  <si>
    <t>220 LTR BLUE N/M 8.5 KG</t>
  </si>
  <si>
    <t>NMD-220-BLU-895KG</t>
  </si>
  <si>
    <t>Blue / 8.95 KG</t>
  </si>
  <si>
    <t>220 LTR BLUE N/M 8.95 KG</t>
  </si>
  <si>
    <t>NMD-220-BLU-90KG</t>
  </si>
  <si>
    <t>220 LTR BLUE N/M 9.0 KG</t>
  </si>
  <si>
    <t>NMD-220-BLU-915KG</t>
  </si>
  <si>
    <t>Blue / 9.15 KG</t>
  </si>
  <si>
    <t>220 LTR BLUE N/M 9.15 KG</t>
  </si>
  <si>
    <t>NMD-220-BLU-92KG</t>
  </si>
  <si>
    <t>220 LTR BLUE N/M 9.2 KG</t>
  </si>
  <si>
    <t>NMD-220-BLU-95KG</t>
  </si>
  <si>
    <t>220 LTR BLUE N/M 9.5 KG</t>
  </si>
  <si>
    <t>NMD-230-BLU-92KG</t>
  </si>
  <si>
    <t>230 LTR BLUE N/M 9.2 KG</t>
  </si>
  <si>
    <t>NMD-235-BLU-100KG</t>
  </si>
  <si>
    <t>235 LTR BLUE N/M 10.0 KG</t>
  </si>
  <si>
    <t>NMD-235-BLU-1015KG</t>
  </si>
  <si>
    <t>Blue / 10.15 KG</t>
  </si>
  <si>
    <t>235 LTR BLUE N/M 10.15 KG</t>
  </si>
  <si>
    <t>NMD-235-BLU-102KG</t>
  </si>
  <si>
    <t>235 LTR BLUE N/M 10.2 KG</t>
  </si>
  <si>
    <t>NMD-235-BLU-1055KG</t>
  </si>
  <si>
    <t>Blue / 10.55 KG</t>
  </si>
  <si>
    <t>235 LTR BLUE N/M 10.55 KG</t>
  </si>
  <si>
    <t>NMD-235-BLU-105KG</t>
  </si>
  <si>
    <t>235 LTR BLUE N/M 10.5 KG</t>
  </si>
  <si>
    <t>NMD-235-BLU-106KG</t>
  </si>
  <si>
    <t>235 LTR BLUE N/M 10.6 KG</t>
  </si>
  <si>
    <t>NMD-235-BLU-78KG</t>
  </si>
  <si>
    <t>235 LTR BLUE N/M 7.8 KG</t>
  </si>
  <si>
    <t>NMD-235-BLU-815KG</t>
  </si>
  <si>
    <t>235 LTR BLUE N/M 8.15 KG</t>
  </si>
  <si>
    <t>NMD-235-BLU-82KG</t>
  </si>
  <si>
    <t>235 LTR BLUE N/M 8.2 KG</t>
  </si>
  <si>
    <t>NMD-235-BLU-845KG</t>
  </si>
  <si>
    <t>235 LTR BLUE N/M 8.45 KG</t>
  </si>
  <si>
    <t>NMD-235-BLU-85KG</t>
  </si>
  <si>
    <t>235 LTR BLUE N/M 8.5 KG</t>
  </si>
  <si>
    <t>NMD-235-BLU-895KG</t>
  </si>
  <si>
    <t>235 LTR BLUE N/M 8.95 KG</t>
  </si>
  <si>
    <t>NMD-235-BLU-90KG</t>
  </si>
  <si>
    <t>235 LTR BLUE N/M 9.0 KG</t>
  </si>
  <si>
    <t>NMD-235-BLU-915KG</t>
  </si>
  <si>
    <t>235 LTR BLUE N/M 9.15 KG</t>
  </si>
  <si>
    <t>NMD-235-BLU-92KG</t>
  </si>
  <si>
    <t>235 LTR BLUE N/M 9.2 KG</t>
  </si>
  <si>
    <t>NMD-235-BLU-94KG</t>
  </si>
  <si>
    <t>235 LTR BLUE N/M 9.4 KG</t>
  </si>
  <si>
    <t>NMD-235-BLU-95KG</t>
  </si>
  <si>
    <t>235 LTR BLUE N/M 9.5 KG</t>
  </si>
  <si>
    <t>NMD-235-BLU-96KG</t>
  </si>
  <si>
    <t>235 LTR BLUE N/M 9.6 KG</t>
  </si>
  <si>
    <t>NMD-235-BLU-98KG</t>
  </si>
  <si>
    <t>235 LTR BLUE N/M 9.8 KG</t>
  </si>
  <si>
    <t>NMD-235-GRN-85KG</t>
  </si>
  <si>
    <t>235 LTR GREEN N/M 8.5 KG</t>
  </si>
  <si>
    <t>NMD-235-GRN-92KG</t>
  </si>
  <si>
    <t>235 LTR GREEN N/M 9.2 KG</t>
  </si>
  <si>
    <t>NMD-235-YEL-845KG</t>
  </si>
  <si>
    <t>Yellow / 8.45 KG</t>
  </si>
  <si>
    <t>235 LTR YELLOW N/M 8.45 KG</t>
  </si>
  <si>
    <t>NMD-235-YEL-85KG</t>
  </si>
  <si>
    <t>Yellow / 8.5 KG</t>
  </si>
  <si>
    <t>235 LTR YELLOW N/M 8.5 KG</t>
  </si>
  <si>
    <t>NMD-250-BLU-1015KG</t>
  </si>
  <si>
    <t>250 LTR BLUE N/M 10.15 KG</t>
  </si>
  <si>
    <t>NMD-250-BLU-102KG</t>
  </si>
  <si>
    <t>250 LTR BLUE N/M 10.2 KG</t>
  </si>
  <si>
    <t>NMD-250-BLU-28KG</t>
  </si>
  <si>
    <t>250 LTR BLUE N/M 2.8 KG</t>
  </si>
  <si>
    <t>NMD-250-BLU-85KG</t>
  </si>
  <si>
    <t>250 LTR BLUE N/M 8.5 KG</t>
  </si>
  <si>
    <t>NMD-250-BLU-895KG</t>
  </si>
  <si>
    <t>250 LTR BLUE N/M 8.95 KG</t>
  </si>
  <si>
    <t>NMD-250-BLU-90KG</t>
  </si>
  <si>
    <t>250 LTR BLUE N/M 9.0 KG</t>
  </si>
  <si>
    <t>NMD-250-BLU-915KG</t>
  </si>
  <si>
    <t>250 LTR BLUE N/M 9.15 KG</t>
  </si>
  <si>
    <t>NMD-250-BLU-92KG</t>
  </si>
  <si>
    <t>250 LTR BLUE N/M 9.2 KG</t>
  </si>
  <si>
    <t>NMD-250-BLU-945KG</t>
  </si>
  <si>
    <t>Blue / 9.45 KG</t>
  </si>
  <si>
    <t>250 LTR BLUE N/M 9.45 KG</t>
  </si>
  <si>
    <t>NMD-250-BLU-95KG</t>
  </si>
  <si>
    <t>250 LTR BLUE N/M 9.5 KG</t>
  </si>
  <si>
    <t>NMD-50-BLU-216KG</t>
  </si>
  <si>
    <t>50 LTR BLUE N/M 2.16 KG</t>
  </si>
  <si>
    <t>NMD-50-BLU-226KG</t>
  </si>
  <si>
    <t>50 LTR BLUE N/M 2.26 KG</t>
  </si>
  <si>
    <t>NMD-50-BLU-236KG</t>
  </si>
  <si>
    <t>Blue / 2.36 KG</t>
  </si>
  <si>
    <t>50 LTR BLUE N/M 2.36 KG</t>
  </si>
  <si>
    <t>NMD-50-BLU-246KG</t>
  </si>
  <si>
    <t>50 LTR BLUE N/M 2.46 KG</t>
  </si>
  <si>
    <t>NMD-50-BLU-24KG</t>
  </si>
  <si>
    <t>50 LTR BLUE N/M 2.4  KG</t>
  </si>
  <si>
    <t>NMD-50-BLU-256KG</t>
  </si>
  <si>
    <t>Blue / 2.56 KG</t>
  </si>
  <si>
    <t>50 LTR BLUE N/M 2.56 KG</t>
  </si>
  <si>
    <t>NMD-50-BLU-25KG</t>
  </si>
  <si>
    <t>50 LTR BLUE N/M 2.5 KG</t>
  </si>
  <si>
    <t>NMD-50-BLU-26KG</t>
  </si>
  <si>
    <t>50 LTR BLUE N/M 2.6 KG</t>
  </si>
  <si>
    <t>NMD-50-BLU-286KG</t>
  </si>
  <si>
    <t>Blue / 2.86 KG</t>
  </si>
  <si>
    <t>50 LTR BLUE N/M 2.86 KG</t>
  </si>
  <si>
    <t>NMD-50-BLU-28KG</t>
  </si>
  <si>
    <t>50 LTR BLUE N/M 2.8 kg</t>
  </si>
  <si>
    <t>NMD-50-BLU-30KG</t>
  </si>
  <si>
    <t>50 LTR BLUE N/M 3.0 KG</t>
  </si>
  <si>
    <t>NMD-50-BLU-35KG</t>
  </si>
  <si>
    <t>50 LTR BLUE N/M 3.5 KG</t>
  </si>
  <si>
    <t>PIN-BLK</t>
  </si>
  <si>
    <t>PIN BLACK</t>
  </si>
  <si>
    <t>PIN-BLU</t>
  </si>
  <si>
    <t>PIN BLUE</t>
  </si>
  <si>
    <t>PIN-BRN</t>
  </si>
  <si>
    <t>PIN BROWN</t>
  </si>
  <si>
    <t>PIN-GRN</t>
  </si>
  <si>
    <t>PIN GREEN</t>
  </si>
  <si>
    <t>PIN-RED</t>
  </si>
  <si>
    <t>PIN RED</t>
  </si>
  <si>
    <t>PIN-YEL</t>
  </si>
  <si>
    <t>PIN YELLOW</t>
  </si>
  <si>
    <t>PCS</t>
  </si>
  <si>
    <t>PLCAP-10IN-RED</t>
  </si>
  <si>
    <t>10" PLAIN CAP RED</t>
  </si>
  <si>
    <t>PLCAP-10IN-WHT</t>
  </si>
  <si>
    <t>10'' PLAIN CAP WHITE</t>
  </si>
  <si>
    <t>PLCAP-2IN-BLK</t>
  </si>
  <si>
    <t>2" PLAIN CAP BLACK</t>
  </si>
  <si>
    <t>PLCAP-2IN-YEL</t>
  </si>
  <si>
    <t>2" PLAIN CAP YELLOW</t>
  </si>
  <si>
    <t>PLCAP-6IN-BLK-1</t>
  </si>
  <si>
    <t>6" PLAIN CAP BLACK</t>
  </si>
  <si>
    <t>PLCAP-6IN-BLK-2</t>
  </si>
  <si>
    <t>6" PLAIN CAP BLACK (IBC)</t>
  </si>
  <si>
    <t>PLCAP-6IN-RED</t>
  </si>
  <si>
    <t>6" PLAIN CAP RED</t>
  </si>
  <si>
    <t>PLCAP-8IN-BLK-1</t>
  </si>
  <si>
    <t>8'' PLAIN CAP BLACK</t>
  </si>
  <si>
    <t>PLCAP-8IN-BLK-2</t>
  </si>
  <si>
    <t>8" PLAIN CAP BLACK</t>
  </si>
  <si>
    <t>PLCAP-8IN-GRN</t>
  </si>
  <si>
    <t>8'' PLAIN CAP GREEN</t>
  </si>
  <si>
    <t>PLRING-14IN-BLK</t>
  </si>
  <si>
    <t>14" PLASTIC RING-BLACK</t>
  </si>
  <si>
    <t>PPCAP-1IN-BLK</t>
  </si>
  <si>
    <t>1" PP CAP BLACK</t>
  </si>
  <si>
    <t>PPCAP-2IN-BLK</t>
  </si>
  <si>
    <t>2'' PP CAP BLACK</t>
  </si>
  <si>
    <t>PPCAP-2IN-BLU</t>
  </si>
  <si>
    <t>2'' PP CAP BLUE</t>
  </si>
  <si>
    <t>PPCAP-2IN-GRN</t>
  </si>
  <si>
    <t>2" PP CAP GREEN</t>
  </si>
  <si>
    <t>PPCAP-2IN-RED</t>
  </si>
  <si>
    <t>2" PP CAP RED</t>
  </si>
  <si>
    <t>PPCAP-2IN-V6</t>
  </si>
  <si>
    <t>2" PP CAP GALAXY LOGO</t>
  </si>
  <si>
    <t>PPCAP-6IN-BLK</t>
  </si>
  <si>
    <t>6" PP CAP BLACK</t>
  </si>
  <si>
    <t>PPCAP-6IN-BLU</t>
  </si>
  <si>
    <t>6" PP CAP BLUE</t>
  </si>
  <si>
    <t>PPCAP-6IN-RED</t>
  </si>
  <si>
    <t>6" PP CAP RED</t>
  </si>
  <si>
    <t>RING-14IN-WHT</t>
  </si>
  <si>
    <t>White / Regular</t>
  </si>
  <si>
    <t>14" RUBBER RING (REGULAR)-WHITE</t>
  </si>
  <si>
    <t>RING-18IN-V351</t>
  </si>
  <si>
    <t>18" RUBBER RING</t>
  </si>
  <si>
    <t>RING-2IN-BLK</t>
  </si>
  <si>
    <t>2" RUBBER RING BLACK</t>
  </si>
  <si>
    <t>RING-2IN-WHT</t>
  </si>
  <si>
    <t>2'' RUBBER RING WHITE</t>
  </si>
  <si>
    <t>RING-6IN-BLK</t>
  </si>
  <si>
    <t>6" RUBBER  RING BLACK</t>
  </si>
  <si>
    <t>RING-8IN-BLK</t>
  </si>
  <si>
    <t>8" RUBBER RING BLACK</t>
  </si>
  <si>
    <t>RING-V357</t>
  </si>
  <si>
    <t>70 MM RING (IBC)</t>
  </si>
  <si>
    <t>RING-V361</t>
  </si>
  <si>
    <t>M/Z RUBBER RING</t>
  </si>
  <si>
    <t>RKT-50-BLK-25KG</t>
  </si>
  <si>
    <t>Black / 2.5 KG</t>
  </si>
  <si>
    <t>50 LTR BLACK RKT 2.5 KG</t>
  </si>
  <si>
    <t>RKT-50-BLU-206KG</t>
  </si>
  <si>
    <t>Blue / 2.06 KG</t>
  </si>
  <si>
    <t>50 LTR BLUE RKT 2.06 KG</t>
  </si>
  <si>
    <t>RKT-50-BLU-226KG</t>
  </si>
  <si>
    <t>50 LTR BLUE RKT 2.26 KG</t>
  </si>
  <si>
    <t>RKT-50-BLU-22KG</t>
  </si>
  <si>
    <t>50 LTR BLUE RKT  2.2 KG</t>
  </si>
  <si>
    <t>RKT-50-BLU-236KG</t>
  </si>
  <si>
    <t>50 LTR BLUE RKT 2.36 KG</t>
  </si>
  <si>
    <t>RKT-50-BLU-246KG</t>
  </si>
  <si>
    <t>50 LTR BLUE RKT 2.46 KG</t>
  </si>
  <si>
    <t>RKT-50-BLU-24KG</t>
  </si>
  <si>
    <t>50 LTR BLUE RKT 2.4 KG</t>
  </si>
  <si>
    <t>RKT-50-BLU-25KG</t>
  </si>
  <si>
    <t>50 LTR BLUE RKT 2.5 KG</t>
  </si>
  <si>
    <t>RKT-50-BLU-266KG</t>
  </si>
  <si>
    <t>50 LTR BLUE RKT 2.66 KG</t>
  </si>
  <si>
    <t>RKT-50-BLU-26KG</t>
  </si>
  <si>
    <t>50 LTR BLUE RKT 2.6 KG</t>
  </si>
  <si>
    <t>RKT-50-BLU-27KG</t>
  </si>
  <si>
    <t>Blue / 2.7 KG</t>
  </si>
  <si>
    <t>50 LTR BLUE RKT  2.7 kg</t>
  </si>
  <si>
    <t>RKT-50-BLU-286KG</t>
  </si>
  <si>
    <t>50 LTR BLUE RKT 2.86 KG</t>
  </si>
  <si>
    <t>RKT-50-BLU-28KG</t>
  </si>
  <si>
    <t>50 LTR BLUE RKT 2.8 KG</t>
  </si>
  <si>
    <t>RKT-50-BLU-30KG</t>
  </si>
  <si>
    <t>50 LTR BLUE RKT 3.0 KG</t>
  </si>
  <si>
    <t>SECFL-BLU</t>
  </si>
  <si>
    <t>SECURITY FLAP BLUE</t>
  </si>
  <si>
    <t>SECFL-V423</t>
  </si>
  <si>
    <t>SECURITY FLAP</t>
  </si>
  <si>
    <t>SPCR-V407</t>
  </si>
  <si>
    <t>BACK SPECER</t>
  </si>
  <si>
    <t>SPCR-V415</t>
  </si>
  <si>
    <t>CORNER SPACER</t>
  </si>
  <si>
    <t>SPCR-V425</t>
  </si>
  <si>
    <t>SIDE SPACER</t>
  </si>
  <si>
    <t>SPGSK-V440</t>
  </si>
  <si>
    <t>SPONGE GASKET 11.5 MM</t>
  </si>
  <si>
    <t>SPGSK-V441</t>
  </si>
  <si>
    <t>SPONGE GASKET 13.5 MM</t>
  </si>
  <si>
    <t>TSCAP-V446</t>
  </si>
  <si>
    <t>TOP SEAL CAP</t>
  </si>
  <si>
    <t>VENT-V432</t>
  </si>
  <si>
    <t>PACKAGING VENT BUSH</t>
  </si>
  <si>
    <t>VENT-V433</t>
  </si>
  <si>
    <t>PACKAGING VENT PLUG - D15</t>
  </si>
  <si>
    <t>WMD-100-BLU-45KG</t>
  </si>
  <si>
    <t>Blue / 4.5 KG</t>
  </si>
  <si>
    <t>100 LTR BLUE W/M 4.5 KG</t>
  </si>
  <si>
    <t>WMD-100-BLU-50KG</t>
  </si>
  <si>
    <t>Blue / 5.0 KG</t>
  </si>
  <si>
    <t>100 LTR BLUE W/M 5.0 KG</t>
  </si>
  <si>
    <t>WMD-100-BLU-60KG</t>
  </si>
  <si>
    <t>Blue / 6.0 KG</t>
  </si>
  <si>
    <t>100 LTR BLUE W/M 6.0 KG</t>
  </si>
  <si>
    <t>WMD-100-YEL-405KG</t>
  </si>
  <si>
    <t>Yellow / 4.05 KG</t>
  </si>
  <si>
    <t>100 LTR YELLOW W/M 4.05 KG</t>
  </si>
  <si>
    <t>WMD-100-YEL-455KG</t>
  </si>
  <si>
    <t>Yellow / 4.55 KG</t>
  </si>
  <si>
    <t>100 LTR YELLOW W/M  4.55 kg</t>
  </si>
  <si>
    <t>WMD-25-GRN-148KG</t>
  </si>
  <si>
    <t>Green / 1.48 KG</t>
  </si>
  <si>
    <t>25 LTR GREEN W/M 1.480 KG</t>
  </si>
  <si>
    <t>WMD-25-GRN-17KG</t>
  </si>
  <si>
    <t>Green / 1.7 KG</t>
  </si>
  <si>
    <t>25 LTR GREEN W/M 1.7 KG</t>
  </si>
  <si>
    <t>WMD-30-BLU-20KG</t>
  </si>
  <si>
    <t>30 LTR BLUE W/M 2.00 KG</t>
  </si>
  <si>
    <t>WMD-50-BLU-216KG</t>
  </si>
  <si>
    <t>50 LTR BLUE W/M 2.16 KG</t>
  </si>
  <si>
    <t>WMD-50-BLU-2225KG</t>
  </si>
  <si>
    <t>Blue / 2.225 KG</t>
  </si>
  <si>
    <t>50 LTR BLUE W/M 2.225 KG</t>
  </si>
  <si>
    <t>WMD-50-BLU-224KG</t>
  </si>
  <si>
    <t>Blue / 2.24 KG</t>
  </si>
  <si>
    <t>50 LTR BLUE W/M 2.24 KG</t>
  </si>
  <si>
    <t>WMD-50-BLU-227KG</t>
  </si>
  <si>
    <t>Blue / 2.27 KG</t>
  </si>
  <si>
    <t>50 LTR BLUE W/M 2.27 KG</t>
  </si>
  <si>
    <t>WMD-50-BLU-236KG</t>
  </si>
  <si>
    <t>50 LTR BLUE W/M 2.36 KG</t>
  </si>
  <si>
    <t>WMD-50-BLU-245KG</t>
  </si>
  <si>
    <t>Blue / 2.45 KG</t>
  </si>
  <si>
    <t>50 LTR BLUE W/M 2.45 KG</t>
  </si>
  <si>
    <t>WMD-50-BLU-24KG</t>
  </si>
  <si>
    <t>50 LTR BLUE W/M 2.4 KG</t>
  </si>
  <si>
    <t>WMD-50-BLU-25KG</t>
  </si>
  <si>
    <t>50 LTR BLUE W/M 2.5 KG</t>
  </si>
  <si>
    <t>WMD-50-BLU-26KG</t>
  </si>
  <si>
    <t>50 LTR BLUE W/M 2.6 KG</t>
  </si>
  <si>
    <t>WMD-50-BLU-28KG</t>
  </si>
  <si>
    <t>50 LTR BLUE W/M 2.8 KG</t>
  </si>
  <si>
    <t>WMD-50-BLU-30KG</t>
  </si>
  <si>
    <t>50 LTR BLUE W/M 3.0 KG</t>
  </si>
  <si>
    <t>WMD-50-GRN-20KG</t>
  </si>
  <si>
    <t>Green / 2.0 KG</t>
  </si>
  <si>
    <t>50 LTR GREEN W/M 2.0 KG</t>
  </si>
  <si>
    <t>WMD-50-GRN-24KG</t>
  </si>
  <si>
    <t>Green / 2.4 KG</t>
  </si>
  <si>
    <t>50 LTR GREEN W/M 2.4 KG</t>
  </si>
  <si>
    <t>WMD-50-ORG-24KG</t>
  </si>
  <si>
    <t>Orange / 2.4 KG</t>
  </si>
  <si>
    <t>50 LTR ORANGE W/M 2.4 KG</t>
  </si>
  <si>
    <t>WMD-50-WHT-257KG</t>
  </si>
  <si>
    <t>White / 2.57 KG</t>
  </si>
  <si>
    <t>50 LTR WHITE W/M 2.57 KG</t>
  </si>
  <si>
    <t>WMD-50-WHT-276KG</t>
  </si>
  <si>
    <t>White / 2.76 KG</t>
  </si>
  <si>
    <t>50 LTR WHITE W/M 2.76 KG</t>
  </si>
  <si>
    <t>WMD-50-WHT-28KG</t>
  </si>
  <si>
    <t>50 LTR WHITE W/M 2.8 KG</t>
  </si>
  <si>
    <t>WMD-50-WHT-30KG</t>
  </si>
  <si>
    <t>50 LTR WHITE W/M 3.0 KG</t>
  </si>
  <si>
    <t>WMD-50-YEL-2225KG</t>
  </si>
  <si>
    <t>Yellow / 2.225 KG</t>
  </si>
  <si>
    <t>50 LTR YELLOW W/M 2.225KG</t>
  </si>
  <si>
    <t>WMD-50-YEL-245KG</t>
  </si>
  <si>
    <t>Yellow / 2.45 KG</t>
  </si>
  <si>
    <t>50 LTR YELLOW W/M 2.450 KG</t>
  </si>
  <si>
    <t>WMD-50-YEL-257KG</t>
  </si>
  <si>
    <t>Yellow / 2.57 KG</t>
  </si>
  <si>
    <t>50 LTR YELLOW W/M 2.570 KG</t>
  </si>
  <si>
    <t>WMD-50-YEL-28KG</t>
  </si>
  <si>
    <t>50 LTR YELLOW W/M 2.8 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</si>
</sst>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3.0"/>
      <color theme="1"/>
      <name val="Arial"/>
    </font>
    <font>
      <b/>
      <sz val="10.0"/>
      <color rgb="FFFFFFFF"/>
      <name val="Arial"/>
    </font>
    <font>
      <sz val="11.0"/>
      <color theme="1"/>
      <name val="Calibri"/>
    </font>
    <font>
      <b/>
      <i/>
      <sz val="10.0"/>
      <color rgb="FF1F4E78"/>
      <name val="Arial"/>
    </font>
    <font>
      <sz val="10.0"/>
      <color theme="1"/>
      <name val="Arial"/>
    </font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CE4D6"/>
        <bgColor rgb="FFFCE4D6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0" fontId="5" numFmtId="0" xfId="0" applyAlignment="1" applyBorder="1" applyFont="1">
      <alignment shrinkToFit="0" vertical="center" wrapText="0"/>
    </xf>
    <xf borderId="0" fillId="0" fontId="5" numFmtId="0" xfId="0" applyAlignment="1" applyFont="1">
      <alignment shrinkToFit="0" vertical="top" wrapText="1"/>
    </xf>
    <xf borderId="1" fillId="3" fontId="5" numFmtId="0" xfId="0" applyAlignment="1" applyBorder="1" applyFill="1" applyFont="1">
      <alignment shrinkToFit="0" vertical="center" wrapText="0"/>
    </xf>
    <xf borderId="0" fillId="0" fontId="6" numFmtId="0" xfId="0" applyAlignment="1" applyFont="1">
      <alignment shrinkToFit="0" vertical="bottom" wrapText="0"/>
    </xf>
    <xf borderId="1" fillId="0" fontId="5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29"/>
    <col customWidth="1" min="2" max="2" width="105.0"/>
    <col customWidth="1" min="3" max="26" width="8.71"/>
  </cols>
  <sheetData>
    <row r="1" ht="15.75" customHeight="1">
      <c r="A1" s="1" t="s">
        <v>2</v>
      </c>
      <c r="B1" s="3"/>
    </row>
    <row r="2" ht="15.0" customHeight="1">
      <c r="A2" s="4" t="s">
        <v>8</v>
      </c>
      <c r="B2" s="3"/>
    </row>
    <row r="3" ht="15.0" customHeight="1">
      <c r="A3" s="5"/>
      <c r="B3" s="7"/>
    </row>
    <row r="4" ht="23.25" customHeight="1">
      <c r="A4" s="5" t="s">
        <v>17</v>
      </c>
      <c r="B4" s="7" t="s">
        <v>18</v>
      </c>
    </row>
    <row r="5" ht="15.0" customHeight="1">
      <c r="A5" s="5"/>
      <c r="B5" s="7"/>
    </row>
    <row r="6" ht="15.0" customHeight="1">
      <c r="A6" s="9" t="s">
        <v>20</v>
      </c>
      <c r="B6" s="7" t="s">
        <v>22</v>
      </c>
    </row>
    <row r="7">
      <c r="A7" s="5" t="s">
        <v>24</v>
      </c>
      <c r="B7" s="7" t="s">
        <v>27</v>
      </c>
    </row>
    <row r="8">
      <c r="A8" s="5" t="s">
        <v>28</v>
      </c>
      <c r="B8" s="7" t="s">
        <v>29</v>
      </c>
    </row>
    <row r="9">
      <c r="A9" s="5" t="s">
        <v>33</v>
      </c>
      <c r="B9" s="7" t="s">
        <v>36</v>
      </c>
    </row>
    <row r="10">
      <c r="A10" s="5" t="s">
        <v>37</v>
      </c>
      <c r="B10" s="7" t="s">
        <v>39</v>
      </c>
    </row>
    <row r="11" ht="15.0" customHeight="1">
      <c r="A11" s="5"/>
      <c r="B11" s="7"/>
    </row>
    <row r="12" ht="18.0" customHeight="1">
      <c r="A12" s="9" t="s">
        <v>42</v>
      </c>
      <c r="B12" s="7" t="s">
        <v>44</v>
      </c>
    </row>
    <row r="13">
      <c r="A13" s="5"/>
      <c r="B13" s="7" t="s">
        <v>46</v>
      </c>
    </row>
    <row r="14" ht="15.0" customHeight="1">
      <c r="A14" s="5"/>
      <c r="B14" s="7"/>
    </row>
    <row r="15" ht="15.0" customHeight="1">
      <c r="A15" s="9" t="s">
        <v>49</v>
      </c>
      <c r="B15" s="7"/>
    </row>
    <row r="16">
      <c r="A16" s="5" t="s">
        <v>50</v>
      </c>
      <c r="B16" s="7" t="s">
        <v>51</v>
      </c>
    </row>
    <row r="17" ht="15.0" customHeight="1">
      <c r="A17" s="5" t="s">
        <v>54</v>
      </c>
      <c r="B17" s="7" t="s">
        <v>56</v>
      </c>
    </row>
    <row r="18">
      <c r="A18" s="5" t="s">
        <v>58</v>
      </c>
      <c r="B18" s="7" t="s">
        <v>60</v>
      </c>
    </row>
    <row r="19" ht="15.0" customHeight="1">
      <c r="A19" s="5"/>
      <c r="B19" s="7"/>
    </row>
    <row r="20" ht="15.0" customHeight="1">
      <c r="A20" s="9" t="s">
        <v>65</v>
      </c>
      <c r="B20" s="7"/>
    </row>
    <row r="21" ht="15.0" customHeight="1">
      <c r="A21" s="5" t="s">
        <v>67</v>
      </c>
      <c r="B21" s="7" t="s">
        <v>69</v>
      </c>
    </row>
    <row r="22" ht="15.0" customHeight="1">
      <c r="A22" s="5" t="s">
        <v>70</v>
      </c>
      <c r="B22" s="7" t="s">
        <v>71</v>
      </c>
    </row>
    <row r="23" ht="15.0" customHeight="1">
      <c r="A23" s="5" t="s">
        <v>72</v>
      </c>
      <c r="B23" s="7" t="s">
        <v>73</v>
      </c>
    </row>
    <row r="24" ht="15.0" customHeight="1">
      <c r="A24" s="5" t="s">
        <v>77</v>
      </c>
      <c r="B24" s="7" t="s">
        <v>78</v>
      </c>
    </row>
    <row r="25" ht="23.25" customHeight="1">
      <c r="A25" s="5" t="s">
        <v>79</v>
      </c>
      <c r="B25" s="7" t="s">
        <v>81</v>
      </c>
    </row>
    <row r="26" ht="15.75" customHeight="1">
      <c r="A26" s="3"/>
      <c r="B26" s="3"/>
    </row>
    <row r="27" ht="15.75" customHeight="1">
      <c r="A27" s="3"/>
      <c r="B27" s="3"/>
    </row>
    <row r="28" ht="15.75" customHeight="1">
      <c r="A28" s="3"/>
      <c r="B28" s="3"/>
    </row>
    <row r="29" ht="15.75" customHeight="1">
      <c r="A29" s="3"/>
      <c r="B29" s="3"/>
    </row>
    <row r="30" ht="15.75" customHeight="1">
      <c r="A30" s="3"/>
      <c r="B30" s="3"/>
    </row>
    <row r="31" ht="15.75" customHeight="1">
      <c r="A31" s="3"/>
      <c r="B31" s="3"/>
    </row>
    <row r="32" ht="15.75" customHeight="1">
      <c r="A32" s="3"/>
      <c r="B32" s="3"/>
    </row>
    <row r="33" ht="15.75" customHeight="1">
      <c r="A33" s="3"/>
      <c r="B33" s="3"/>
    </row>
    <row r="34" ht="15.75" customHeight="1">
      <c r="A34" s="3"/>
      <c r="B34" s="3"/>
    </row>
    <row r="35" ht="15.75" customHeight="1">
      <c r="A35" s="3"/>
      <c r="B35" s="3"/>
    </row>
    <row r="36" ht="15.75" customHeight="1">
      <c r="A36" s="3"/>
      <c r="B36" s="3"/>
    </row>
    <row r="37" ht="15.75" customHeight="1">
      <c r="A37" s="3"/>
      <c r="B37" s="3"/>
    </row>
    <row r="38" ht="15.75" customHeight="1">
      <c r="A38" s="3"/>
      <c r="B38" s="3"/>
    </row>
    <row r="39" ht="15.75" customHeight="1">
      <c r="A39" s="3"/>
      <c r="B39" s="3"/>
    </row>
    <row r="40" ht="15.75" customHeight="1">
      <c r="A40" s="3"/>
      <c r="B40" s="3"/>
    </row>
    <row r="41" ht="15.75" customHeight="1">
      <c r="A41" s="3"/>
      <c r="B41" s="3"/>
    </row>
    <row r="42" ht="15.75" customHeight="1">
      <c r="A42" s="3"/>
      <c r="B42" s="3"/>
    </row>
    <row r="43" ht="15.75" customHeight="1">
      <c r="A43" s="3"/>
      <c r="B43" s="3"/>
    </row>
    <row r="44" ht="15.75" customHeight="1">
      <c r="A44" s="3"/>
      <c r="B44" s="3"/>
    </row>
    <row r="45" ht="15.75" customHeight="1">
      <c r="A45" s="3"/>
      <c r="B45" s="3"/>
    </row>
    <row r="46" ht="15.75" customHeight="1">
      <c r="A46" s="3"/>
      <c r="B46" s="3"/>
    </row>
    <row r="47" ht="15.75" customHeight="1">
      <c r="A47" s="3"/>
      <c r="B47" s="3"/>
    </row>
    <row r="48" ht="15.75" customHeight="1">
      <c r="A48" s="3"/>
      <c r="B48" s="3"/>
    </row>
    <row r="49" ht="15.75" customHeight="1">
      <c r="A49" s="3"/>
      <c r="B49" s="3"/>
    </row>
    <row r="50" ht="15.75" customHeight="1">
      <c r="A50" s="3"/>
      <c r="B50" s="3"/>
    </row>
    <row r="51" ht="15.75" customHeight="1">
      <c r="A51" s="3"/>
      <c r="B51" s="3"/>
    </row>
    <row r="52" ht="15.75" customHeight="1">
      <c r="A52" s="3"/>
      <c r="B52" s="3"/>
    </row>
    <row r="53" ht="15.75" customHeight="1">
      <c r="A53" s="3"/>
      <c r="B53" s="3"/>
    </row>
    <row r="54" ht="15.75" customHeight="1">
      <c r="A54" s="3"/>
      <c r="B54" s="3"/>
    </row>
    <row r="55" ht="15.75" customHeight="1">
      <c r="A55" s="3"/>
      <c r="B55" s="3"/>
    </row>
    <row r="56" ht="15.75" customHeight="1">
      <c r="A56" s="3"/>
      <c r="B56" s="3"/>
    </row>
    <row r="57" ht="15.75" customHeight="1">
      <c r="A57" s="3"/>
      <c r="B57" s="3"/>
    </row>
    <row r="58" ht="15.75" customHeight="1">
      <c r="A58" s="3"/>
      <c r="B58" s="3"/>
    </row>
    <row r="59" ht="15.75" customHeight="1">
      <c r="A59" s="3"/>
      <c r="B59" s="3"/>
    </row>
    <row r="60" ht="15.75" customHeight="1">
      <c r="A60" s="3"/>
      <c r="B60" s="3"/>
    </row>
    <row r="61" ht="15.75" customHeight="1">
      <c r="A61" s="3"/>
      <c r="B61" s="3"/>
    </row>
    <row r="62" ht="15.75" customHeight="1">
      <c r="A62" s="3"/>
      <c r="B62" s="3"/>
    </row>
    <row r="63" ht="15.75" customHeight="1">
      <c r="A63" s="3"/>
      <c r="B63" s="3"/>
    </row>
    <row r="64" ht="15.75" customHeight="1">
      <c r="A64" s="3"/>
      <c r="B64" s="3"/>
    </row>
    <row r="65" ht="15.75" customHeight="1">
      <c r="A65" s="3"/>
      <c r="B65" s="3"/>
    </row>
    <row r="66" ht="15.75" customHeight="1">
      <c r="A66" s="3"/>
      <c r="B66" s="3"/>
    </row>
    <row r="67" ht="15.75" customHeight="1">
      <c r="A67" s="3"/>
      <c r="B67" s="3"/>
    </row>
    <row r="68" ht="15.75" customHeight="1">
      <c r="A68" s="3"/>
      <c r="B68" s="3"/>
    </row>
    <row r="69" ht="15.75" customHeight="1">
      <c r="A69" s="3"/>
      <c r="B69" s="3"/>
    </row>
    <row r="70" ht="15.75" customHeight="1">
      <c r="A70" s="3"/>
      <c r="B70" s="3"/>
    </row>
    <row r="71" ht="15.75" customHeight="1">
      <c r="A71" s="3"/>
      <c r="B71" s="3"/>
    </row>
    <row r="72" ht="15.75" customHeight="1">
      <c r="A72" s="3"/>
      <c r="B72" s="3"/>
    </row>
    <row r="73" ht="15.75" customHeight="1">
      <c r="A73" s="3"/>
      <c r="B73" s="3"/>
    </row>
    <row r="74" ht="15.75" customHeight="1">
      <c r="A74" s="3"/>
      <c r="B74" s="3"/>
    </row>
    <row r="75" ht="15.75" customHeight="1">
      <c r="A75" s="3"/>
      <c r="B75" s="3"/>
    </row>
    <row r="76" ht="15.75" customHeight="1">
      <c r="A76" s="3"/>
      <c r="B76" s="3"/>
    </row>
    <row r="77" ht="15.75" customHeight="1">
      <c r="A77" s="3"/>
      <c r="B77" s="3"/>
    </row>
    <row r="78" ht="15.75" customHeight="1">
      <c r="A78" s="3"/>
      <c r="B78" s="3"/>
    </row>
    <row r="79" ht="15.75" customHeight="1">
      <c r="A79" s="3"/>
      <c r="B79" s="3"/>
    </row>
    <row r="80" ht="15.75" customHeight="1">
      <c r="A80" s="3"/>
      <c r="B80" s="3"/>
    </row>
    <row r="81" ht="15.75" customHeight="1">
      <c r="A81" s="3"/>
      <c r="B81" s="3"/>
    </row>
    <row r="82" ht="15.75" customHeight="1">
      <c r="A82" s="3"/>
      <c r="B82" s="3"/>
    </row>
    <row r="83" ht="15.75" customHeight="1">
      <c r="A83" s="3"/>
      <c r="B83" s="3"/>
    </row>
    <row r="84" ht="15.75" customHeight="1">
      <c r="A84" s="3"/>
      <c r="B84" s="3"/>
    </row>
    <row r="85" ht="15.75" customHeight="1">
      <c r="A85" s="3"/>
      <c r="B85" s="3"/>
    </row>
    <row r="86" ht="15.75" customHeight="1">
      <c r="A86" s="3"/>
      <c r="B86" s="3"/>
    </row>
    <row r="87" ht="15.75" customHeight="1">
      <c r="A87" s="3"/>
      <c r="B87" s="3"/>
    </row>
    <row r="88" ht="15.75" customHeight="1">
      <c r="A88" s="3"/>
      <c r="B88" s="3"/>
    </row>
    <row r="89" ht="15.75" customHeight="1">
      <c r="A89" s="3"/>
      <c r="B89" s="3"/>
    </row>
    <row r="90" ht="15.75" customHeight="1">
      <c r="A90" s="3"/>
      <c r="B90" s="3"/>
    </row>
    <row r="91" ht="15.75" customHeight="1">
      <c r="A91" s="3"/>
      <c r="B91" s="3"/>
    </row>
    <row r="92" ht="15.75" customHeight="1">
      <c r="A92" s="3"/>
      <c r="B92" s="3"/>
    </row>
    <row r="93" ht="15.75" customHeight="1">
      <c r="A93" s="3"/>
      <c r="B93" s="3"/>
    </row>
    <row r="94" ht="15.75" customHeight="1">
      <c r="A94" s="3"/>
      <c r="B94" s="3"/>
    </row>
    <row r="95" ht="15.75" customHeight="1">
      <c r="A95" s="3"/>
      <c r="B95" s="3"/>
    </row>
    <row r="96" ht="15.75" customHeight="1">
      <c r="A96" s="3"/>
      <c r="B96" s="3"/>
    </row>
    <row r="97" ht="15.75" customHeight="1">
      <c r="A97" s="3"/>
      <c r="B97" s="3"/>
    </row>
    <row r="98" ht="15.75" customHeight="1">
      <c r="A98" s="3"/>
      <c r="B98" s="3"/>
    </row>
    <row r="99" ht="15.75" customHeight="1">
      <c r="A99" s="3"/>
      <c r="B99" s="3"/>
    </row>
    <row r="100" ht="15.75" customHeight="1">
      <c r="A100" s="3"/>
      <c r="B100" s="3"/>
    </row>
    <row r="101" ht="15.75" customHeight="1">
      <c r="A101" s="3"/>
      <c r="B101" s="3"/>
    </row>
    <row r="102" ht="15.75" customHeight="1">
      <c r="A102" s="3"/>
      <c r="B102" s="3"/>
    </row>
    <row r="103" ht="15.75" customHeight="1">
      <c r="A103" s="3"/>
      <c r="B103" s="3"/>
    </row>
    <row r="104" ht="15.75" customHeight="1">
      <c r="A104" s="3"/>
      <c r="B104" s="3"/>
    </row>
    <row r="105" ht="15.75" customHeight="1">
      <c r="A105" s="3"/>
      <c r="B105" s="3"/>
    </row>
    <row r="106" ht="15.75" customHeight="1">
      <c r="A106" s="3"/>
      <c r="B106" s="3"/>
    </row>
    <row r="107" ht="15.75" customHeight="1">
      <c r="A107" s="3"/>
      <c r="B107" s="3"/>
    </row>
    <row r="108" ht="15.75" customHeight="1">
      <c r="A108" s="3"/>
      <c r="B108" s="3"/>
    </row>
    <row r="109" ht="15.75" customHeight="1">
      <c r="A109" s="3"/>
      <c r="B109" s="3"/>
    </row>
    <row r="110" ht="15.75" customHeight="1">
      <c r="A110" s="3"/>
      <c r="B110" s="3"/>
    </row>
    <row r="111" ht="15.75" customHeight="1">
      <c r="A111" s="3"/>
      <c r="B111" s="3"/>
    </row>
    <row r="112" ht="15.75" customHeight="1">
      <c r="A112" s="3"/>
      <c r="B112" s="3"/>
    </row>
    <row r="113" ht="15.75" customHeight="1">
      <c r="A113" s="3"/>
      <c r="B113" s="3"/>
    </row>
    <row r="114" ht="15.75" customHeight="1">
      <c r="A114" s="3"/>
      <c r="B114" s="3"/>
    </row>
    <row r="115" ht="15.75" customHeight="1">
      <c r="A115" s="3"/>
      <c r="B115" s="3"/>
    </row>
    <row r="116" ht="15.75" customHeight="1">
      <c r="A116" s="3"/>
      <c r="B116" s="3"/>
    </row>
    <row r="117" ht="15.75" customHeight="1">
      <c r="A117" s="3"/>
      <c r="B117" s="3"/>
    </row>
    <row r="118" ht="15.75" customHeight="1">
      <c r="A118" s="3"/>
      <c r="B118" s="3"/>
    </row>
    <row r="119" ht="15.75" customHeight="1">
      <c r="A119" s="3"/>
      <c r="B119" s="3"/>
    </row>
    <row r="120" ht="15.75" customHeight="1">
      <c r="A120" s="3"/>
      <c r="B120" s="3"/>
    </row>
    <row r="121" ht="15.75" customHeight="1">
      <c r="A121" s="3"/>
      <c r="B121" s="3"/>
    </row>
    <row r="122" ht="15.75" customHeight="1">
      <c r="A122" s="3"/>
      <c r="B122" s="3"/>
    </row>
    <row r="123" ht="15.75" customHeight="1">
      <c r="A123" s="3"/>
      <c r="B123" s="3"/>
    </row>
    <row r="124" ht="15.75" customHeight="1">
      <c r="A124" s="3"/>
      <c r="B124" s="3"/>
    </row>
    <row r="125" ht="15.75" customHeight="1">
      <c r="A125" s="3"/>
      <c r="B125" s="3"/>
    </row>
    <row r="126" ht="15.75" customHeight="1">
      <c r="A126" s="3"/>
      <c r="B126" s="3"/>
    </row>
    <row r="127" ht="15.75" customHeight="1">
      <c r="A127" s="3"/>
      <c r="B127" s="3"/>
    </row>
    <row r="128" ht="15.75" customHeight="1">
      <c r="A128" s="3"/>
      <c r="B128" s="3"/>
    </row>
    <row r="129" ht="15.75" customHeight="1">
      <c r="A129" s="3"/>
      <c r="B129" s="3"/>
    </row>
    <row r="130" ht="15.75" customHeight="1">
      <c r="A130" s="3"/>
      <c r="B130" s="3"/>
    </row>
    <row r="131" ht="15.75" customHeight="1">
      <c r="A131" s="3"/>
      <c r="B131" s="3"/>
    </row>
    <row r="132" ht="15.75" customHeight="1">
      <c r="A132" s="3"/>
      <c r="B132" s="3"/>
    </row>
    <row r="133" ht="15.75" customHeight="1">
      <c r="A133" s="3"/>
      <c r="B133" s="3"/>
    </row>
    <row r="134" ht="15.75" customHeight="1">
      <c r="A134" s="3"/>
      <c r="B134" s="3"/>
    </row>
    <row r="135" ht="15.75" customHeight="1">
      <c r="A135" s="3"/>
      <c r="B135" s="3"/>
    </row>
    <row r="136" ht="15.75" customHeight="1">
      <c r="A136" s="3"/>
      <c r="B136" s="3"/>
    </row>
    <row r="137" ht="15.75" customHeight="1">
      <c r="A137" s="3"/>
      <c r="B137" s="3"/>
    </row>
    <row r="138" ht="15.75" customHeight="1">
      <c r="A138" s="3"/>
      <c r="B138" s="3"/>
    </row>
    <row r="139" ht="15.75" customHeight="1">
      <c r="A139" s="3"/>
      <c r="B139" s="3"/>
    </row>
    <row r="140" ht="15.75" customHeight="1">
      <c r="A140" s="3"/>
      <c r="B140" s="3"/>
    </row>
    <row r="141" ht="15.75" customHeight="1">
      <c r="A141" s="3"/>
      <c r="B141" s="3"/>
    </row>
    <row r="142" ht="15.75" customHeight="1">
      <c r="A142" s="3"/>
      <c r="B142" s="3"/>
    </row>
    <row r="143" ht="15.75" customHeight="1">
      <c r="A143" s="3"/>
      <c r="B143" s="3"/>
    </row>
    <row r="144" ht="15.75" customHeight="1">
      <c r="A144" s="3"/>
      <c r="B144" s="3"/>
    </row>
    <row r="145" ht="15.75" customHeight="1">
      <c r="A145" s="3"/>
      <c r="B145" s="3"/>
    </row>
    <row r="146" ht="15.75" customHeight="1">
      <c r="A146" s="3"/>
      <c r="B146" s="3"/>
    </row>
    <row r="147" ht="15.75" customHeight="1">
      <c r="A147" s="3"/>
      <c r="B147" s="3"/>
    </row>
    <row r="148" ht="15.75" customHeight="1">
      <c r="A148" s="3"/>
      <c r="B148" s="3"/>
    </row>
    <row r="149" ht="15.75" customHeight="1">
      <c r="A149" s="3"/>
      <c r="B149" s="3"/>
    </row>
    <row r="150" ht="15.75" customHeight="1">
      <c r="A150" s="3"/>
      <c r="B150" s="3"/>
    </row>
    <row r="151" ht="15.75" customHeight="1">
      <c r="A151" s="3"/>
      <c r="B151" s="3"/>
    </row>
    <row r="152" ht="15.75" customHeight="1">
      <c r="A152" s="3"/>
      <c r="B152" s="3"/>
    </row>
    <row r="153" ht="15.75" customHeight="1">
      <c r="A153" s="3"/>
      <c r="B153" s="3"/>
    </row>
    <row r="154" ht="15.75" customHeight="1">
      <c r="A154" s="3"/>
      <c r="B154" s="3"/>
    </row>
    <row r="155" ht="15.75" customHeight="1">
      <c r="A155" s="3"/>
      <c r="B155" s="3"/>
    </row>
    <row r="156" ht="15.75" customHeight="1">
      <c r="A156" s="3"/>
      <c r="B156" s="3"/>
    </row>
    <row r="157" ht="15.75" customHeight="1">
      <c r="A157" s="3"/>
      <c r="B157" s="3"/>
    </row>
    <row r="158" ht="15.75" customHeight="1">
      <c r="A158" s="3"/>
      <c r="B158" s="3"/>
    </row>
    <row r="159" ht="15.75" customHeight="1">
      <c r="A159" s="3"/>
      <c r="B159" s="3"/>
    </row>
    <row r="160" ht="15.75" customHeight="1">
      <c r="A160" s="3"/>
      <c r="B160" s="3"/>
    </row>
    <row r="161" ht="15.75" customHeight="1">
      <c r="A161" s="3"/>
      <c r="B161" s="3"/>
    </row>
    <row r="162" ht="15.75" customHeight="1">
      <c r="A162" s="3"/>
      <c r="B162" s="3"/>
    </row>
    <row r="163" ht="15.75" customHeight="1">
      <c r="A163" s="3"/>
      <c r="B163" s="3"/>
    </row>
    <row r="164" ht="15.75" customHeight="1">
      <c r="A164" s="3"/>
      <c r="B164" s="3"/>
    </row>
    <row r="165" ht="15.75" customHeight="1">
      <c r="A165" s="3"/>
      <c r="B165" s="3"/>
    </row>
    <row r="166" ht="15.75" customHeight="1">
      <c r="A166" s="3"/>
      <c r="B166" s="3"/>
    </row>
    <row r="167" ht="15.75" customHeight="1">
      <c r="A167" s="3"/>
      <c r="B167" s="3"/>
    </row>
    <row r="168" ht="15.75" customHeight="1">
      <c r="A168" s="3"/>
      <c r="B168" s="3"/>
    </row>
    <row r="169" ht="15.75" customHeight="1">
      <c r="A169" s="3"/>
      <c r="B169" s="3"/>
    </row>
    <row r="170" ht="15.75" customHeight="1">
      <c r="A170" s="3"/>
      <c r="B170" s="3"/>
    </row>
    <row r="171" ht="15.75" customHeight="1">
      <c r="A171" s="3"/>
      <c r="B171" s="3"/>
    </row>
    <row r="172" ht="15.75" customHeight="1">
      <c r="A172" s="3"/>
      <c r="B172" s="3"/>
    </row>
    <row r="173" ht="15.75" customHeight="1">
      <c r="A173" s="3"/>
      <c r="B173" s="3"/>
    </row>
    <row r="174" ht="15.75" customHeight="1">
      <c r="A174" s="3"/>
      <c r="B174" s="3"/>
    </row>
    <row r="175" ht="15.75" customHeight="1">
      <c r="A175" s="3"/>
      <c r="B175" s="3"/>
    </row>
    <row r="176" ht="15.75" customHeight="1">
      <c r="A176" s="3"/>
      <c r="B176" s="3"/>
    </row>
    <row r="177" ht="15.75" customHeight="1">
      <c r="A177" s="3"/>
      <c r="B177" s="3"/>
    </row>
    <row r="178" ht="15.75" customHeight="1">
      <c r="A178" s="3"/>
      <c r="B178" s="3"/>
    </row>
    <row r="179" ht="15.75" customHeight="1">
      <c r="A179" s="3"/>
      <c r="B179" s="3"/>
    </row>
    <row r="180" ht="15.75" customHeight="1">
      <c r="A180" s="3"/>
      <c r="B180" s="3"/>
    </row>
    <row r="181" ht="15.75" customHeight="1">
      <c r="A181" s="3"/>
      <c r="B181" s="3"/>
    </row>
    <row r="182" ht="15.75" customHeight="1">
      <c r="A182" s="3"/>
      <c r="B182" s="3"/>
    </row>
    <row r="183" ht="15.75" customHeight="1">
      <c r="A183" s="3"/>
      <c r="B183" s="3"/>
    </row>
    <row r="184" ht="15.75" customHeight="1">
      <c r="A184" s="3"/>
      <c r="B184" s="3"/>
    </row>
    <row r="185" ht="15.75" customHeight="1">
      <c r="A185" s="3"/>
      <c r="B185" s="3"/>
    </row>
    <row r="186" ht="15.75" customHeight="1">
      <c r="A186" s="3"/>
      <c r="B186" s="3"/>
    </row>
    <row r="187" ht="15.75" customHeight="1">
      <c r="A187" s="3"/>
      <c r="B187" s="3"/>
    </row>
    <row r="188" ht="15.75" customHeight="1">
      <c r="A188" s="3"/>
      <c r="B188" s="3"/>
    </row>
    <row r="189" ht="15.75" customHeight="1">
      <c r="A189" s="3"/>
      <c r="B189" s="3"/>
    </row>
    <row r="190" ht="15.75" customHeight="1">
      <c r="A190" s="3"/>
      <c r="B190" s="3"/>
    </row>
    <row r="191" ht="15.75" customHeight="1">
      <c r="A191" s="3"/>
      <c r="B191" s="3"/>
    </row>
    <row r="192" ht="15.75" customHeight="1">
      <c r="A192" s="3"/>
      <c r="B192" s="3"/>
    </row>
    <row r="193" ht="15.75" customHeight="1">
      <c r="A193" s="3"/>
      <c r="B193" s="3"/>
    </row>
    <row r="194" ht="15.75" customHeight="1">
      <c r="A194" s="3"/>
      <c r="B194" s="3"/>
    </row>
    <row r="195" ht="15.75" customHeight="1">
      <c r="A195" s="3"/>
      <c r="B195" s="3"/>
    </row>
    <row r="196" ht="15.75" customHeight="1">
      <c r="A196" s="3"/>
      <c r="B196" s="3"/>
    </row>
    <row r="197" ht="15.75" customHeight="1">
      <c r="A197" s="3"/>
      <c r="B197" s="3"/>
    </row>
    <row r="198" ht="15.75" customHeight="1">
      <c r="A198" s="3"/>
      <c r="B198" s="3"/>
    </row>
    <row r="199" ht="15.75" customHeight="1">
      <c r="A199" s="3"/>
      <c r="B199" s="3"/>
    </row>
    <row r="200" ht="15.75" customHeight="1">
      <c r="A200" s="3"/>
      <c r="B200" s="3"/>
    </row>
    <row r="201" ht="15.75" customHeight="1">
      <c r="A201" s="3"/>
      <c r="B201" s="3"/>
    </row>
    <row r="202" ht="15.75" customHeight="1">
      <c r="A202" s="3"/>
      <c r="B202" s="3"/>
    </row>
    <row r="203" ht="15.75" customHeight="1">
      <c r="A203" s="3"/>
      <c r="B203" s="3"/>
    </row>
    <row r="204" ht="15.75" customHeight="1">
      <c r="A204" s="3"/>
      <c r="B204" s="3"/>
    </row>
    <row r="205" ht="15.75" customHeight="1">
      <c r="A205" s="3"/>
      <c r="B205" s="3"/>
    </row>
    <row r="206" ht="15.75" customHeight="1">
      <c r="A206" s="3"/>
      <c r="B206" s="3"/>
    </row>
    <row r="207" ht="15.75" customHeight="1">
      <c r="A207" s="3"/>
      <c r="B207" s="3"/>
    </row>
    <row r="208" ht="15.75" customHeight="1">
      <c r="A208" s="3"/>
      <c r="B208" s="3"/>
    </row>
    <row r="209" ht="15.75" customHeight="1">
      <c r="A209" s="3"/>
      <c r="B209" s="3"/>
    </row>
    <row r="210" ht="15.75" customHeight="1">
      <c r="A210" s="3"/>
      <c r="B210" s="3"/>
    </row>
    <row r="211" ht="15.75" customHeight="1">
      <c r="A211" s="3"/>
      <c r="B211" s="3"/>
    </row>
    <row r="212" ht="15.75" customHeight="1">
      <c r="A212" s="3"/>
      <c r="B212" s="3"/>
    </row>
    <row r="213" ht="15.75" customHeight="1">
      <c r="A213" s="3"/>
      <c r="B213" s="3"/>
    </row>
    <row r="214" ht="15.75" customHeight="1">
      <c r="A214" s="3"/>
      <c r="B214" s="3"/>
    </row>
    <row r="215" ht="15.75" customHeight="1">
      <c r="A215" s="3"/>
      <c r="B215" s="3"/>
    </row>
    <row r="216" ht="15.75" customHeight="1">
      <c r="A216" s="3"/>
      <c r="B216" s="3"/>
    </row>
    <row r="217" ht="15.75" customHeight="1">
      <c r="A217" s="3"/>
      <c r="B217" s="3"/>
    </row>
    <row r="218" ht="15.75" customHeight="1">
      <c r="A218" s="3"/>
      <c r="B218" s="3"/>
    </row>
    <row r="219" ht="15.75" customHeight="1">
      <c r="A219" s="3"/>
      <c r="B219" s="3"/>
    </row>
    <row r="220" ht="15.75" customHeight="1">
      <c r="A220" s="3"/>
      <c r="B220" s="3"/>
    </row>
    <row r="221" ht="15.75" customHeight="1">
      <c r="A221" s="3"/>
      <c r="B221" s="3"/>
    </row>
    <row r="222" ht="15.75" customHeight="1">
      <c r="A222" s="3"/>
      <c r="B222" s="3"/>
    </row>
    <row r="223" ht="15.75" customHeight="1">
      <c r="A223" s="3"/>
      <c r="B223" s="3"/>
    </row>
    <row r="224" ht="15.75" customHeight="1">
      <c r="A224" s="3"/>
      <c r="B224" s="3"/>
    </row>
    <row r="225" ht="15.75" customHeight="1">
      <c r="A225" s="3"/>
      <c r="B225" s="3"/>
    </row>
    <row r="226" ht="15.75" customHeight="1">
      <c r="A226" s="3"/>
      <c r="B226" s="3"/>
    </row>
    <row r="227" ht="15.75" customHeight="1">
      <c r="A227" s="3"/>
      <c r="B227" s="3"/>
    </row>
    <row r="228" ht="15.75" customHeight="1">
      <c r="A228" s="3"/>
      <c r="B228" s="3"/>
    </row>
    <row r="229" ht="15.75" customHeight="1">
      <c r="A229" s="3"/>
      <c r="B229" s="3"/>
    </row>
    <row r="230" ht="15.75" customHeight="1">
      <c r="A230" s="3"/>
      <c r="B230" s="3"/>
    </row>
    <row r="231" ht="15.75" customHeight="1">
      <c r="A231" s="3"/>
      <c r="B231" s="3"/>
    </row>
    <row r="232" ht="15.75" customHeight="1">
      <c r="A232" s="3"/>
      <c r="B232" s="3"/>
    </row>
    <row r="233" ht="15.75" customHeight="1">
      <c r="A233" s="3"/>
      <c r="B233" s="3"/>
    </row>
    <row r="234" ht="15.75" customHeight="1">
      <c r="A234" s="3"/>
      <c r="B234" s="3"/>
    </row>
    <row r="235" ht="15.75" customHeight="1">
      <c r="A235" s="3"/>
      <c r="B235" s="3"/>
    </row>
    <row r="236" ht="15.75" customHeight="1">
      <c r="A236" s="3"/>
      <c r="B236" s="3"/>
    </row>
    <row r="237" ht="15.75" customHeight="1">
      <c r="A237" s="3"/>
      <c r="B237" s="3"/>
    </row>
    <row r="238" ht="15.75" customHeight="1">
      <c r="A238" s="3"/>
      <c r="B238" s="3"/>
    </row>
    <row r="239" ht="15.75" customHeight="1">
      <c r="A239" s="3"/>
      <c r="B239" s="3"/>
    </row>
    <row r="240" ht="15.75" customHeight="1">
      <c r="A240" s="3"/>
      <c r="B240" s="3"/>
    </row>
    <row r="241" ht="15.75" customHeight="1">
      <c r="A241" s="3"/>
      <c r="B241" s="3"/>
    </row>
    <row r="242" ht="15.75" customHeight="1">
      <c r="A242" s="3"/>
      <c r="B242" s="3"/>
    </row>
    <row r="243" ht="15.75" customHeight="1">
      <c r="A243" s="3"/>
      <c r="B243" s="3"/>
    </row>
    <row r="244" ht="15.75" customHeight="1">
      <c r="A244" s="3"/>
      <c r="B244" s="3"/>
    </row>
    <row r="245" ht="15.75" customHeight="1">
      <c r="A245" s="3"/>
      <c r="B245" s="3"/>
    </row>
    <row r="246" ht="15.75" customHeight="1">
      <c r="A246" s="3"/>
      <c r="B246" s="3"/>
    </row>
    <row r="247" ht="15.75" customHeight="1">
      <c r="A247" s="3"/>
      <c r="B247" s="3"/>
    </row>
    <row r="248" ht="15.75" customHeight="1">
      <c r="A248" s="3"/>
      <c r="B248" s="3"/>
    </row>
    <row r="249" ht="15.75" customHeight="1">
      <c r="A249" s="3"/>
      <c r="B249" s="3"/>
    </row>
    <row r="250" ht="15.75" customHeight="1">
      <c r="A250" s="3"/>
      <c r="B250" s="3"/>
    </row>
    <row r="251" ht="15.75" customHeight="1">
      <c r="A251" s="3"/>
      <c r="B251" s="3"/>
    </row>
    <row r="252" ht="15.75" customHeight="1">
      <c r="A252" s="3"/>
      <c r="B252" s="3"/>
    </row>
    <row r="253" ht="15.75" customHeight="1">
      <c r="A253" s="3"/>
      <c r="B253" s="3"/>
    </row>
    <row r="254" ht="15.75" customHeight="1">
      <c r="A254" s="3"/>
      <c r="B254" s="3"/>
    </row>
    <row r="255" ht="15.75" customHeight="1">
      <c r="A255" s="3"/>
      <c r="B255" s="3"/>
    </row>
    <row r="256" ht="15.75" customHeight="1">
      <c r="A256" s="3"/>
      <c r="B256" s="3"/>
    </row>
    <row r="257" ht="15.75" customHeight="1">
      <c r="A257" s="3"/>
      <c r="B257" s="3"/>
    </row>
    <row r="258" ht="15.75" customHeight="1">
      <c r="A258" s="3"/>
      <c r="B258" s="3"/>
    </row>
    <row r="259" ht="15.75" customHeight="1">
      <c r="A259" s="3"/>
      <c r="B259" s="3"/>
    </row>
    <row r="260" ht="15.75" customHeight="1">
      <c r="A260" s="3"/>
      <c r="B260" s="3"/>
    </row>
    <row r="261" ht="15.75" customHeight="1">
      <c r="A261" s="3"/>
      <c r="B261" s="3"/>
    </row>
    <row r="262" ht="15.75" customHeight="1">
      <c r="A262" s="3"/>
      <c r="B262" s="3"/>
    </row>
    <row r="263" ht="15.75" customHeight="1">
      <c r="A263" s="3"/>
      <c r="B263" s="3"/>
    </row>
    <row r="264" ht="15.75" customHeight="1">
      <c r="A264" s="3"/>
      <c r="B264" s="3"/>
    </row>
    <row r="265" ht="15.75" customHeight="1">
      <c r="A265" s="3"/>
      <c r="B265" s="3"/>
    </row>
    <row r="266" ht="15.75" customHeight="1">
      <c r="A266" s="3"/>
      <c r="B266" s="3"/>
    </row>
    <row r="267" ht="15.75" customHeight="1">
      <c r="A267" s="3"/>
      <c r="B267" s="3"/>
    </row>
    <row r="268" ht="15.75" customHeight="1">
      <c r="A268" s="3"/>
      <c r="B268" s="3"/>
    </row>
    <row r="269" ht="15.75" customHeight="1">
      <c r="A269" s="3"/>
      <c r="B269" s="3"/>
    </row>
    <row r="270" ht="15.75" customHeight="1">
      <c r="A270" s="3"/>
      <c r="B270" s="3"/>
    </row>
    <row r="271" ht="15.75" customHeight="1">
      <c r="A271" s="3"/>
      <c r="B271" s="3"/>
    </row>
    <row r="272" ht="15.75" customHeight="1">
      <c r="A272" s="3"/>
      <c r="B272" s="3"/>
    </row>
    <row r="273" ht="15.75" customHeight="1">
      <c r="A273" s="3"/>
      <c r="B273" s="3"/>
    </row>
    <row r="274" ht="15.75" customHeight="1">
      <c r="A274" s="3"/>
      <c r="B274" s="3"/>
    </row>
    <row r="275" ht="15.75" customHeight="1">
      <c r="A275" s="3"/>
      <c r="B275" s="3"/>
    </row>
    <row r="276" ht="15.75" customHeight="1">
      <c r="A276" s="3"/>
      <c r="B276" s="3"/>
    </row>
    <row r="277" ht="15.75" customHeight="1">
      <c r="A277" s="3"/>
      <c r="B277" s="3"/>
    </row>
    <row r="278" ht="15.75" customHeight="1">
      <c r="A278" s="3"/>
      <c r="B278" s="3"/>
    </row>
    <row r="279" ht="15.75" customHeight="1">
      <c r="A279" s="3"/>
      <c r="B279" s="3"/>
    </row>
    <row r="280" ht="15.75" customHeight="1">
      <c r="A280" s="3"/>
      <c r="B280" s="3"/>
    </row>
    <row r="281" ht="15.75" customHeight="1">
      <c r="A281" s="3"/>
      <c r="B281" s="3"/>
    </row>
    <row r="282" ht="15.75" customHeight="1">
      <c r="A282" s="3"/>
      <c r="B282" s="3"/>
    </row>
    <row r="283" ht="15.75" customHeight="1">
      <c r="A283" s="3"/>
      <c r="B283" s="3"/>
    </row>
    <row r="284" ht="15.75" customHeight="1">
      <c r="A284" s="3"/>
      <c r="B284" s="3"/>
    </row>
    <row r="285" ht="15.75" customHeight="1">
      <c r="A285" s="3"/>
      <c r="B285" s="3"/>
    </row>
    <row r="286" ht="15.75" customHeight="1">
      <c r="A286" s="3"/>
      <c r="B286" s="3"/>
    </row>
    <row r="287" ht="15.75" customHeight="1">
      <c r="A287" s="3"/>
      <c r="B287" s="3"/>
    </row>
    <row r="288" ht="15.75" customHeight="1">
      <c r="A288" s="3"/>
      <c r="B288" s="3"/>
    </row>
    <row r="289" ht="15.75" customHeight="1">
      <c r="A289" s="3"/>
      <c r="B289" s="3"/>
    </row>
    <row r="290" ht="15.75" customHeight="1">
      <c r="A290" s="3"/>
      <c r="B290" s="3"/>
    </row>
    <row r="291" ht="15.75" customHeight="1">
      <c r="A291" s="3"/>
      <c r="B291" s="3"/>
    </row>
    <row r="292" ht="15.75" customHeight="1">
      <c r="A292" s="3"/>
      <c r="B292" s="3"/>
    </row>
    <row r="293" ht="15.75" customHeight="1">
      <c r="A293" s="3"/>
      <c r="B293" s="3"/>
    </row>
    <row r="294" ht="15.75" customHeight="1">
      <c r="A294" s="3"/>
      <c r="B294" s="3"/>
    </row>
    <row r="295" ht="15.75" customHeight="1">
      <c r="A295" s="3"/>
      <c r="B295" s="3"/>
    </row>
    <row r="296" ht="15.75" customHeight="1">
      <c r="A296" s="3"/>
      <c r="B296" s="3"/>
    </row>
    <row r="297" ht="15.75" customHeight="1">
      <c r="A297" s="3"/>
      <c r="B297" s="3"/>
    </row>
    <row r="298" ht="15.75" customHeight="1">
      <c r="A298" s="3"/>
      <c r="B298" s="3"/>
    </row>
    <row r="299" ht="15.75" customHeight="1">
      <c r="A299" s="3"/>
      <c r="B299" s="3"/>
    </row>
    <row r="300" ht="15.75" customHeight="1">
      <c r="A300" s="3"/>
      <c r="B300" s="3"/>
    </row>
    <row r="301" ht="15.75" customHeight="1">
      <c r="A301" s="3"/>
      <c r="B301" s="3"/>
    </row>
    <row r="302" ht="15.75" customHeight="1">
      <c r="A302" s="3"/>
      <c r="B302" s="3"/>
    </row>
    <row r="303" ht="15.75" customHeight="1">
      <c r="A303" s="3"/>
      <c r="B303" s="3"/>
    </row>
    <row r="304" ht="15.75" customHeight="1">
      <c r="A304" s="3"/>
      <c r="B304" s="3"/>
    </row>
    <row r="305" ht="15.75" customHeight="1">
      <c r="A305" s="3"/>
      <c r="B305" s="3"/>
    </row>
    <row r="306" ht="15.75" customHeight="1">
      <c r="A306" s="3"/>
      <c r="B306" s="3"/>
    </row>
    <row r="307" ht="15.75" customHeight="1">
      <c r="A307" s="3"/>
      <c r="B307" s="3"/>
    </row>
    <row r="308" ht="15.75" customHeight="1">
      <c r="A308" s="3"/>
      <c r="B308" s="3"/>
    </row>
    <row r="309" ht="15.75" customHeight="1">
      <c r="A309" s="3"/>
      <c r="B309" s="3"/>
    </row>
    <row r="310" ht="15.75" customHeight="1">
      <c r="A310" s="3"/>
      <c r="B310" s="3"/>
    </row>
    <row r="311" ht="15.75" customHeight="1">
      <c r="A311" s="3"/>
      <c r="B311" s="3"/>
    </row>
    <row r="312" ht="15.75" customHeight="1">
      <c r="A312" s="3"/>
      <c r="B312" s="3"/>
    </row>
    <row r="313" ht="15.75" customHeight="1">
      <c r="A313" s="3"/>
      <c r="B313" s="3"/>
    </row>
    <row r="314" ht="15.75" customHeight="1">
      <c r="A314" s="3"/>
      <c r="B314" s="3"/>
    </row>
    <row r="315" ht="15.75" customHeight="1">
      <c r="A315" s="3"/>
      <c r="B315" s="3"/>
    </row>
    <row r="316" ht="15.75" customHeight="1">
      <c r="A316" s="3"/>
      <c r="B316" s="3"/>
    </row>
    <row r="317" ht="15.75" customHeight="1">
      <c r="A317" s="3"/>
      <c r="B317" s="3"/>
    </row>
    <row r="318" ht="15.75" customHeight="1">
      <c r="A318" s="3"/>
      <c r="B318" s="3"/>
    </row>
    <row r="319" ht="15.75" customHeight="1">
      <c r="A319" s="3"/>
      <c r="B319" s="3"/>
    </row>
    <row r="320" ht="15.75" customHeight="1">
      <c r="A320" s="3"/>
      <c r="B320" s="3"/>
    </row>
    <row r="321" ht="15.75" customHeight="1">
      <c r="A321" s="3"/>
      <c r="B321" s="3"/>
    </row>
    <row r="322" ht="15.75" customHeight="1">
      <c r="A322" s="3"/>
      <c r="B322" s="3"/>
    </row>
    <row r="323" ht="15.75" customHeight="1">
      <c r="A323" s="3"/>
      <c r="B323" s="3"/>
    </row>
    <row r="324" ht="15.75" customHeight="1">
      <c r="A324" s="3"/>
      <c r="B324" s="3"/>
    </row>
    <row r="325" ht="15.75" customHeight="1">
      <c r="A325" s="3"/>
      <c r="B325" s="3"/>
    </row>
    <row r="326" ht="15.75" customHeight="1">
      <c r="A326" s="3"/>
      <c r="B326" s="3"/>
    </row>
    <row r="327" ht="15.75" customHeight="1">
      <c r="A327" s="3"/>
      <c r="B327" s="3"/>
    </row>
    <row r="328" ht="15.75" customHeight="1">
      <c r="A328" s="3"/>
      <c r="B328" s="3"/>
    </row>
    <row r="329" ht="15.75" customHeight="1">
      <c r="A329" s="3"/>
      <c r="B329" s="3"/>
    </row>
    <row r="330" ht="15.75" customHeight="1">
      <c r="A330" s="3"/>
      <c r="B330" s="3"/>
    </row>
    <row r="331" ht="15.75" customHeight="1">
      <c r="A331" s="3"/>
      <c r="B331" s="3"/>
    </row>
    <row r="332" ht="15.75" customHeight="1">
      <c r="A332" s="3"/>
      <c r="B332" s="3"/>
    </row>
    <row r="333" ht="15.75" customHeight="1">
      <c r="A333" s="3"/>
      <c r="B333" s="3"/>
    </row>
    <row r="334" ht="15.75" customHeight="1">
      <c r="A334" s="3"/>
      <c r="B334" s="3"/>
    </row>
    <row r="335" ht="15.75" customHeight="1">
      <c r="A335" s="3"/>
      <c r="B335" s="3"/>
    </row>
    <row r="336" ht="15.75" customHeight="1">
      <c r="A336" s="3"/>
      <c r="B336" s="3"/>
    </row>
    <row r="337" ht="15.75" customHeight="1">
      <c r="A337" s="3"/>
      <c r="B337" s="3"/>
    </row>
    <row r="338" ht="15.75" customHeight="1">
      <c r="A338" s="3"/>
      <c r="B338" s="3"/>
    </row>
    <row r="339" ht="15.75" customHeight="1">
      <c r="A339" s="3"/>
      <c r="B339" s="3"/>
    </row>
    <row r="340" ht="15.75" customHeight="1">
      <c r="A340" s="3"/>
      <c r="B340" s="3"/>
    </row>
    <row r="341" ht="15.75" customHeight="1">
      <c r="A341" s="3"/>
      <c r="B341" s="3"/>
    </row>
    <row r="342" ht="15.75" customHeight="1">
      <c r="A342" s="3"/>
      <c r="B342" s="3"/>
    </row>
    <row r="343" ht="15.75" customHeight="1">
      <c r="A343" s="3"/>
      <c r="B343" s="3"/>
    </row>
    <row r="344" ht="15.75" customHeight="1">
      <c r="A344" s="3"/>
      <c r="B344" s="3"/>
    </row>
    <row r="345" ht="15.75" customHeight="1">
      <c r="A345" s="3"/>
      <c r="B345" s="3"/>
    </row>
    <row r="346" ht="15.75" customHeight="1">
      <c r="A346" s="3"/>
      <c r="B346" s="3"/>
    </row>
    <row r="347" ht="15.75" customHeight="1">
      <c r="A347" s="3"/>
      <c r="B347" s="3"/>
    </row>
    <row r="348" ht="15.75" customHeight="1">
      <c r="A348" s="3"/>
      <c r="B348" s="3"/>
    </row>
    <row r="349" ht="15.75" customHeight="1">
      <c r="A349" s="3"/>
      <c r="B349" s="3"/>
    </row>
    <row r="350" ht="15.75" customHeight="1">
      <c r="A350" s="3"/>
      <c r="B350" s="3"/>
    </row>
    <row r="351" ht="15.75" customHeight="1">
      <c r="A351" s="3"/>
      <c r="B351" s="3"/>
    </row>
    <row r="352" ht="15.75" customHeight="1">
      <c r="A352" s="3"/>
      <c r="B352" s="3"/>
    </row>
    <row r="353" ht="15.75" customHeight="1">
      <c r="A353" s="3"/>
      <c r="B353" s="3"/>
    </row>
    <row r="354" ht="15.75" customHeight="1">
      <c r="A354" s="3"/>
      <c r="B354" s="3"/>
    </row>
    <row r="355" ht="15.75" customHeight="1">
      <c r="A355" s="3"/>
      <c r="B355" s="3"/>
    </row>
    <row r="356" ht="15.75" customHeight="1">
      <c r="A356" s="3"/>
      <c r="B356" s="3"/>
    </row>
    <row r="357" ht="15.75" customHeight="1">
      <c r="A357" s="3"/>
      <c r="B357" s="3"/>
    </row>
    <row r="358" ht="15.75" customHeight="1">
      <c r="A358" s="3"/>
      <c r="B358" s="3"/>
    </row>
    <row r="359" ht="15.75" customHeight="1">
      <c r="A359" s="3"/>
      <c r="B359" s="3"/>
    </row>
    <row r="360" ht="15.75" customHeight="1">
      <c r="A360" s="3"/>
      <c r="B360" s="3"/>
    </row>
    <row r="361" ht="15.75" customHeight="1">
      <c r="A361" s="3"/>
      <c r="B361" s="3"/>
    </row>
    <row r="362" ht="15.75" customHeight="1">
      <c r="A362" s="3"/>
      <c r="B362" s="3"/>
    </row>
    <row r="363" ht="15.75" customHeight="1">
      <c r="A363" s="3"/>
      <c r="B363" s="3"/>
    </row>
    <row r="364" ht="15.75" customHeight="1">
      <c r="A364" s="3"/>
      <c r="B364" s="3"/>
    </row>
    <row r="365" ht="15.75" customHeight="1">
      <c r="A365" s="3"/>
      <c r="B365" s="3"/>
    </row>
    <row r="366" ht="15.75" customHeight="1">
      <c r="A366" s="3"/>
      <c r="B366" s="3"/>
    </row>
    <row r="367" ht="15.75" customHeight="1">
      <c r="A367" s="3"/>
      <c r="B367" s="3"/>
    </row>
    <row r="368" ht="15.75" customHeight="1">
      <c r="A368" s="3"/>
      <c r="B368" s="3"/>
    </row>
    <row r="369" ht="15.75" customHeight="1">
      <c r="A369" s="3"/>
      <c r="B369" s="3"/>
    </row>
    <row r="370" ht="15.75" customHeight="1">
      <c r="A370" s="3"/>
      <c r="B370" s="3"/>
    </row>
    <row r="371" ht="15.75" customHeight="1">
      <c r="A371" s="3"/>
      <c r="B371" s="3"/>
    </row>
    <row r="372" ht="15.75" customHeight="1">
      <c r="A372" s="3"/>
      <c r="B372" s="3"/>
    </row>
    <row r="373" ht="15.75" customHeight="1">
      <c r="A373" s="3"/>
      <c r="B373" s="3"/>
    </row>
    <row r="374" ht="15.75" customHeight="1">
      <c r="A374" s="3"/>
      <c r="B374" s="3"/>
    </row>
    <row r="375" ht="15.75" customHeight="1">
      <c r="A375" s="3"/>
      <c r="B375" s="3"/>
    </row>
    <row r="376" ht="15.75" customHeight="1">
      <c r="A376" s="3"/>
      <c r="B376" s="3"/>
    </row>
    <row r="377" ht="15.75" customHeight="1">
      <c r="A377" s="3"/>
      <c r="B377" s="3"/>
    </row>
    <row r="378" ht="15.75" customHeight="1">
      <c r="A378" s="3"/>
      <c r="B378" s="3"/>
    </row>
    <row r="379" ht="15.75" customHeight="1">
      <c r="A379" s="3"/>
      <c r="B379" s="3"/>
    </row>
    <row r="380" ht="15.75" customHeight="1">
      <c r="A380" s="3"/>
      <c r="B380" s="3"/>
    </row>
    <row r="381" ht="15.75" customHeight="1">
      <c r="A381" s="3"/>
      <c r="B381" s="3"/>
    </row>
    <row r="382" ht="15.75" customHeight="1">
      <c r="A382" s="3"/>
      <c r="B382" s="3"/>
    </row>
    <row r="383" ht="15.75" customHeight="1">
      <c r="A383" s="3"/>
      <c r="B383" s="3"/>
    </row>
    <row r="384" ht="15.75" customHeight="1">
      <c r="A384" s="3"/>
      <c r="B384" s="3"/>
    </row>
    <row r="385" ht="15.75" customHeight="1">
      <c r="A385" s="3"/>
      <c r="B385" s="3"/>
    </row>
    <row r="386" ht="15.75" customHeight="1">
      <c r="A386" s="3"/>
      <c r="B386" s="3"/>
    </row>
    <row r="387" ht="15.75" customHeight="1">
      <c r="A387" s="3"/>
      <c r="B387" s="3"/>
    </row>
    <row r="388" ht="15.75" customHeight="1">
      <c r="A388" s="3"/>
      <c r="B388" s="3"/>
    </row>
    <row r="389" ht="15.75" customHeight="1">
      <c r="A389" s="3"/>
      <c r="B389" s="3"/>
    </row>
    <row r="390" ht="15.75" customHeight="1">
      <c r="A390" s="3"/>
      <c r="B390" s="3"/>
    </row>
    <row r="391" ht="15.75" customHeight="1">
      <c r="A391" s="3"/>
      <c r="B391" s="3"/>
    </row>
    <row r="392" ht="15.75" customHeight="1">
      <c r="A392" s="3"/>
      <c r="B392" s="3"/>
    </row>
    <row r="393" ht="15.75" customHeight="1">
      <c r="A393" s="3"/>
      <c r="B393" s="3"/>
    </row>
    <row r="394" ht="15.75" customHeight="1">
      <c r="A394" s="3"/>
      <c r="B394" s="3"/>
    </row>
    <row r="395" ht="15.75" customHeight="1">
      <c r="A395" s="3"/>
      <c r="B395" s="3"/>
    </row>
    <row r="396" ht="15.75" customHeight="1">
      <c r="A396" s="3"/>
      <c r="B396" s="3"/>
    </row>
    <row r="397" ht="15.75" customHeight="1">
      <c r="A397" s="3"/>
      <c r="B397" s="3"/>
    </row>
    <row r="398" ht="15.75" customHeight="1">
      <c r="A398" s="3"/>
      <c r="B398" s="3"/>
    </row>
    <row r="399" ht="15.75" customHeight="1">
      <c r="A399" s="3"/>
      <c r="B399" s="3"/>
    </row>
    <row r="400" ht="15.75" customHeight="1">
      <c r="A400" s="3"/>
      <c r="B400" s="3"/>
    </row>
    <row r="401" ht="15.75" customHeight="1">
      <c r="A401" s="3"/>
      <c r="B401" s="3"/>
    </row>
    <row r="402" ht="15.75" customHeight="1">
      <c r="A402" s="3"/>
      <c r="B402" s="3"/>
    </row>
    <row r="403" ht="15.75" customHeight="1">
      <c r="A403" s="3"/>
      <c r="B403" s="3"/>
    </row>
    <row r="404" ht="15.75" customHeight="1">
      <c r="A404" s="3"/>
      <c r="B404" s="3"/>
    </row>
    <row r="405" ht="15.75" customHeight="1">
      <c r="A405" s="3"/>
      <c r="B405" s="3"/>
    </row>
    <row r="406" ht="15.75" customHeight="1">
      <c r="A406" s="3"/>
      <c r="B406" s="3"/>
    </row>
    <row r="407" ht="15.75" customHeight="1">
      <c r="A407" s="3"/>
      <c r="B407" s="3"/>
    </row>
    <row r="408" ht="15.75" customHeight="1">
      <c r="A408" s="3"/>
      <c r="B408" s="3"/>
    </row>
    <row r="409" ht="15.75" customHeight="1">
      <c r="A409" s="3"/>
      <c r="B409" s="3"/>
    </row>
    <row r="410" ht="15.75" customHeight="1">
      <c r="A410" s="3"/>
      <c r="B410" s="3"/>
    </row>
    <row r="411" ht="15.75" customHeight="1">
      <c r="A411" s="3"/>
      <c r="B411" s="3"/>
    </row>
    <row r="412" ht="15.75" customHeight="1">
      <c r="A412" s="3"/>
      <c r="B412" s="3"/>
    </row>
    <row r="413" ht="15.75" customHeight="1">
      <c r="A413" s="3"/>
      <c r="B413" s="3"/>
    </row>
    <row r="414" ht="15.75" customHeight="1">
      <c r="A414" s="3"/>
      <c r="B414" s="3"/>
    </row>
    <row r="415" ht="15.75" customHeight="1">
      <c r="A415" s="3"/>
      <c r="B415" s="3"/>
    </row>
    <row r="416" ht="15.75" customHeight="1">
      <c r="A416" s="3"/>
      <c r="B416" s="3"/>
    </row>
    <row r="417" ht="15.75" customHeight="1">
      <c r="A417" s="3"/>
      <c r="B417" s="3"/>
    </row>
    <row r="418" ht="15.75" customHeight="1">
      <c r="A418" s="3"/>
      <c r="B418" s="3"/>
    </row>
    <row r="419" ht="15.75" customHeight="1">
      <c r="A419" s="3"/>
      <c r="B419" s="3"/>
    </row>
    <row r="420" ht="15.75" customHeight="1">
      <c r="A420" s="3"/>
      <c r="B420" s="3"/>
    </row>
    <row r="421" ht="15.75" customHeight="1">
      <c r="A421" s="3"/>
      <c r="B421" s="3"/>
    </row>
    <row r="422" ht="15.75" customHeight="1">
      <c r="A422" s="3"/>
      <c r="B422" s="3"/>
    </row>
    <row r="423" ht="15.75" customHeight="1">
      <c r="A423" s="3"/>
      <c r="B423" s="3"/>
    </row>
    <row r="424" ht="15.75" customHeight="1">
      <c r="A424" s="3"/>
      <c r="B424" s="3"/>
    </row>
    <row r="425" ht="15.75" customHeight="1">
      <c r="A425" s="3"/>
      <c r="B425" s="3"/>
    </row>
    <row r="426" ht="15.75" customHeight="1">
      <c r="A426" s="3"/>
      <c r="B426" s="3"/>
    </row>
    <row r="427" ht="15.75" customHeight="1">
      <c r="A427" s="3"/>
      <c r="B427" s="3"/>
    </row>
    <row r="428" ht="15.75" customHeight="1">
      <c r="A428" s="3"/>
      <c r="B428" s="3"/>
    </row>
    <row r="429" ht="15.75" customHeight="1">
      <c r="A429" s="3"/>
      <c r="B429" s="3"/>
    </row>
    <row r="430" ht="15.75" customHeight="1">
      <c r="A430" s="3"/>
      <c r="B430" s="3"/>
    </row>
    <row r="431" ht="15.75" customHeight="1">
      <c r="A431" s="3"/>
      <c r="B431" s="3"/>
    </row>
    <row r="432" ht="15.75" customHeight="1">
      <c r="A432" s="3"/>
      <c r="B432" s="3"/>
    </row>
    <row r="433" ht="15.75" customHeight="1">
      <c r="A433" s="3"/>
      <c r="B433" s="3"/>
    </row>
    <row r="434" ht="15.75" customHeight="1">
      <c r="A434" s="3"/>
      <c r="B434" s="3"/>
    </row>
    <row r="435" ht="15.75" customHeight="1">
      <c r="A435" s="3"/>
      <c r="B435" s="3"/>
    </row>
    <row r="436" ht="15.75" customHeight="1">
      <c r="A436" s="3"/>
      <c r="B436" s="3"/>
    </row>
    <row r="437" ht="15.75" customHeight="1">
      <c r="A437" s="3"/>
      <c r="B437" s="3"/>
    </row>
    <row r="438" ht="15.75" customHeight="1">
      <c r="A438" s="3"/>
      <c r="B438" s="3"/>
    </row>
    <row r="439" ht="15.75" customHeight="1">
      <c r="A439" s="3"/>
      <c r="B439" s="3"/>
    </row>
    <row r="440" ht="15.75" customHeight="1">
      <c r="A440" s="3"/>
      <c r="B440" s="3"/>
    </row>
    <row r="441" ht="15.75" customHeight="1">
      <c r="A441" s="3"/>
      <c r="B441" s="3"/>
    </row>
    <row r="442" ht="15.75" customHeight="1">
      <c r="A442" s="3"/>
      <c r="B442" s="3"/>
    </row>
    <row r="443" ht="15.75" customHeight="1">
      <c r="A443" s="3"/>
      <c r="B443" s="3"/>
    </row>
    <row r="444" ht="15.75" customHeight="1">
      <c r="A444" s="3"/>
      <c r="B444" s="3"/>
    </row>
    <row r="445" ht="15.75" customHeight="1">
      <c r="A445" s="3"/>
      <c r="B445" s="3"/>
    </row>
    <row r="446" ht="15.75" customHeight="1">
      <c r="A446" s="3"/>
      <c r="B446" s="3"/>
    </row>
    <row r="447" ht="15.75" customHeight="1">
      <c r="A447" s="3"/>
      <c r="B447" s="3"/>
    </row>
    <row r="448" ht="15.75" customHeight="1">
      <c r="A448" s="3"/>
      <c r="B448" s="3"/>
    </row>
    <row r="449" ht="15.75" customHeight="1">
      <c r="A449" s="3"/>
      <c r="B449" s="3"/>
    </row>
    <row r="450" ht="15.75" customHeight="1">
      <c r="A450" s="3"/>
      <c r="B450" s="3"/>
    </row>
    <row r="451" ht="15.75" customHeight="1">
      <c r="A451" s="3"/>
      <c r="B451" s="3"/>
    </row>
    <row r="452" ht="15.75" customHeight="1">
      <c r="A452" s="3"/>
      <c r="B452" s="3"/>
    </row>
    <row r="453" ht="15.75" customHeight="1">
      <c r="A453" s="3"/>
      <c r="B453" s="3"/>
    </row>
    <row r="454" ht="15.75" customHeight="1">
      <c r="A454" s="3"/>
      <c r="B454" s="3"/>
    </row>
    <row r="455" ht="15.75" customHeight="1">
      <c r="A455" s="3"/>
      <c r="B455" s="3"/>
    </row>
    <row r="456" ht="15.75" customHeight="1">
      <c r="A456" s="3"/>
      <c r="B456" s="3"/>
    </row>
    <row r="457" ht="15.75" customHeight="1">
      <c r="A457" s="3"/>
      <c r="B457" s="3"/>
    </row>
    <row r="458" ht="15.75" customHeight="1">
      <c r="A458" s="3"/>
      <c r="B458" s="3"/>
    </row>
    <row r="459" ht="15.75" customHeight="1">
      <c r="A459" s="3"/>
      <c r="B459" s="3"/>
    </row>
    <row r="460" ht="15.75" customHeight="1">
      <c r="A460" s="3"/>
      <c r="B460" s="3"/>
    </row>
    <row r="461" ht="15.75" customHeight="1">
      <c r="A461" s="3"/>
      <c r="B461" s="3"/>
    </row>
    <row r="462" ht="15.75" customHeight="1">
      <c r="A462" s="3"/>
      <c r="B462" s="3"/>
    </row>
    <row r="463" ht="15.75" customHeight="1">
      <c r="A463" s="3"/>
      <c r="B463" s="3"/>
    </row>
    <row r="464" ht="15.75" customHeight="1">
      <c r="A464" s="3"/>
      <c r="B464" s="3"/>
    </row>
    <row r="465" ht="15.75" customHeight="1">
      <c r="A465" s="3"/>
      <c r="B465" s="3"/>
    </row>
    <row r="466" ht="15.75" customHeight="1">
      <c r="A466" s="3"/>
      <c r="B466" s="3"/>
    </row>
    <row r="467" ht="15.75" customHeight="1">
      <c r="A467" s="3"/>
      <c r="B467" s="3"/>
    </row>
    <row r="468" ht="15.75" customHeight="1">
      <c r="A468" s="3"/>
      <c r="B468" s="3"/>
    </row>
    <row r="469" ht="15.75" customHeight="1">
      <c r="A469" s="3"/>
      <c r="B469" s="3"/>
    </row>
    <row r="470" ht="15.75" customHeight="1">
      <c r="A470" s="3"/>
      <c r="B470" s="3"/>
    </row>
    <row r="471" ht="15.75" customHeight="1">
      <c r="A471" s="3"/>
      <c r="B471" s="3"/>
    </row>
    <row r="472" ht="15.75" customHeight="1">
      <c r="A472" s="3"/>
      <c r="B472" s="3"/>
    </row>
    <row r="473" ht="15.75" customHeight="1">
      <c r="A473" s="3"/>
      <c r="B473" s="3"/>
    </row>
    <row r="474" ht="15.75" customHeight="1">
      <c r="A474" s="3"/>
      <c r="B474" s="3"/>
    </row>
    <row r="475" ht="15.75" customHeight="1">
      <c r="A475" s="3"/>
      <c r="B475" s="3"/>
    </row>
    <row r="476" ht="15.75" customHeight="1">
      <c r="A476" s="3"/>
      <c r="B476" s="3"/>
    </row>
    <row r="477" ht="15.75" customHeight="1">
      <c r="A477" s="3"/>
      <c r="B477" s="3"/>
    </row>
    <row r="478" ht="15.75" customHeight="1">
      <c r="A478" s="3"/>
      <c r="B478" s="3"/>
    </row>
    <row r="479" ht="15.75" customHeight="1">
      <c r="A479" s="3"/>
      <c r="B479" s="3"/>
    </row>
    <row r="480" ht="15.75" customHeight="1">
      <c r="A480" s="3"/>
      <c r="B480" s="3"/>
    </row>
    <row r="481" ht="15.75" customHeight="1">
      <c r="A481" s="3"/>
      <c r="B481" s="3"/>
    </row>
    <row r="482" ht="15.75" customHeight="1">
      <c r="A482" s="3"/>
      <c r="B482" s="3"/>
    </row>
    <row r="483" ht="15.75" customHeight="1">
      <c r="A483" s="3"/>
      <c r="B483" s="3"/>
    </row>
    <row r="484" ht="15.75" customHeight="1">
      <c r="A484" s="3"/>
      <c r="B484" s="3"/>
    </row>
    <row r="485" ht="15.75" customHeight="1">
      <c r="A485" s="3"/>
      <c r="B485" s="3"/>
    </row>
    <row r="486" ht="15.75" customHeight="1">
      <c r="A486" s="3"/>
      <c r="B486" s="3"/>
    </row>
    <row r="487" ht="15.75" customHeight="1">
      <c r="A487" s="3"/>
      <c r="B487" s="3"/>
    </row>
    <row r="488" ht="15.75" customHeight="1">
      <c r="A488" s="3"/>
      <c r="B488" s="3"/>
    </row>
    <row r="489" ht="15.75" customHeight="1">
      <c r="A489" s="3"/>
      <c r="B489" s="3"/>
    </row>
    <row r="490" ht="15.75" customHeight="1">
      <c r="A490" s="3"/>
      <c r="B490" s="3"/>
    </row>
    <row r="491" ht="15.75" customHeight="1">
      <c r="A491" s="3"/>
      <c r="B491" s="3"/>
    </row>
    <row r="492" ht="15.75" customHeight="1">
      <c r="A492" s="3"/>
      <c r="B492" s="3"/>
    </row>
    <row r="493" ht="15.75" customHeight="1">
      <c r="A493" s="3"/>
      <c r="B493" s="3"/>
    </row>
    <row r="494" ht="15.75" customHeight="1">
      <c r="A494" s="3"/>
      <c r="B494" s="3"/>
    </row>
    <row r="495" ht="15.75" customHeight="1">
      <c r="A495" s="3"/>
      <c r="B495" s="3"/>
    </row>
    <row r="496" ht="15.75" customHeight="1">
      <c r="A496" s="3"/>
      <c r="B496" s="3"/>
    </row>
    <row r="497" ht="15.75" customHeight="1">
      <c r="A497" s="3"/>
      <c r="B497" s="3"/>
    </row>
    <row r="498" ht="15.75" customHeight="1">
      <c r="A498" s="3"/>
      <c r="B498" s="3"/>
    </row>
    <row r="499" ht="15.75" customHeight="1">
      <c r="A499" s="3"/>
      <c r="B499" s="3"/>
    </row>
    <row r="500" ht="15.75" customHeight="1">
      <c r="A500" s="3"/>
      <c r="B500" s="3"/>
    </row>
    <row r="501" ht="15.75" customHeight="1">
      <c r="A501" s="3"/>
      <c r="B501" s="3"/>
    </row>
    <row r="502" ht="15.75" customHeight="1">
      <c r="A502" s="3"/>
      <c r="B502" s="3"/>
    </row>
    <row r="503" ht="15.75" customHeight="1">
      <c r="A503" s="3"/>
      <c r="B503" s="3"/>
    </row>
    <row r="504" ht="15.75" customHeight="1">
      <c r="A504" s="3"/>
      <c r="B504" s="3"/>
    </row>
    <row r="505" ht="15.75" customHeight="1">
      <c r="A505" s="3"/>
      <c r="B505" s="3"/>
    </row>
    <row r="506" ht="15.75" customHeight="1">
      <c r="A506" s="3"/>
      <c r="B506" s="3"/>
    </row>
    <row r="507" ht="15.75" customHeight="1">
      <c r="A507" s="3"/>
      <c r="B507" s="3"/>
    </row>
    <row r="508" ht="15.75" customHeight="1">
      <c r="A508" s="3"/>
      <c r="B508" s="3"/>
    </row>
    <row r="509" ht="15.75" customHeight="1">
      <c r="A509" s="3"/>
      <c r="B509" s="3"/>
    </row>
    <row r="510" ht="15.75" customHeight="1">
      <c r="A510" s="3"/>
      <c r="B510" s="3"/>
    </row>
    <row r="511" ht="15.75" customHeight="1">
      <c r="A511" s="3"/>
      <c r="B511" s="3"/>
    </row>
    <row r="512" ht="15.75" customHeight="1">
      <c r="A512" s="3"/>
      <c r="B512" s="3"/>
    </row>
    <row r="513" ht="15.75" customHeight="1">
      <c r="A513" s="3"/>
      <c r="B513" s="3"/>
    </row>
    <row r="514" ht="15.75" customHeight="1">
      <c r="A514" s="3"/>
      <c r="B514" s="3"/>
    </row>
    <row r="515" ht="15.75" customHeight="1">
      <c r="A515" s="3"/>
      <c r="B515" s="3"/>
    </row>
    <row r="516" ht="15.75" customHeight="1">
      <c r="A516" s="3"/>
      <c r="B516" s="3"/>
    </row>
    <row r="517" ht="15.75" customHeight="1">
      <c r="A517" s="3"/>
      <c r="B517" s="3"/>
    </row>
    <row r="518" ht="15.75" customHeight="1">
      <c r="A518" s="3"/>
      <c r="B518" s="3"/>
    </row>
    <row r="519" ht="15.75" customHeight="1">
      <c r="A519" s="3"/>
      <c r="B519" s="3"/>
    </row>
    <row r="520" ht="15.75" customHeight="1">
      <c r="A520" s="3"/>
      <c r="B520" s="3"/>
    </row>
    <row r="521" ht="15.75" customHeight="1">
      <c r="A521" s="3"/>
      <c r="B521" s="3"/>
    </row>
    <row r="522" ht="15.75" customHeight="1">
      <c r="A522" s="3"/>
      <c r="B522" s="3"/>
    </row>
    <row r="523" ht="15.75" customHeight="1">
      <c r="A523" s="3"/>
      <c r="B523" s="3"/>
    </row>
    <row r="524" ht="15.75" customHeight="1">
      <c r="A524" s="3"/>
      <c r="B524" s="3"/>
    </row>
    <row r="525" ht="15.75" customHeight="1">
      <c r="A525" s="3"/>
      <c r="B525" s="3"/>
    </row>
    <row r="526" ht="15.75" customHeight="1">
      <c r="A526" s="3"/>
      <c r="B526" s="3"/>
    </row>
    <row r="527" ht="15.75" customHeight="1">
      <c r="A527" s="3"/>
      <c r="B527" s="3"/>
    </row>
    <row r="528" ht="15.75" customHeight="1">
      <c r="A528" s="3"/>
      <c r="B528" s="3"/>
    </row>
    <row r="529" ht="15.75" customHeight="1">
      <c r="A529" s="3"/>
      <c r="B529" s="3"/>
    </row>
    <row r="530" ht="15.75" customHeight="1">
      <c r="A530" s="3"/>
      <c r="B530" s="3"/>
    </row>
    <row r="531" ht="15.75" customHeight="1">
      <c r="A531" s="3"/>
      <c r="B531" s="3"/>
    </row>
    <row r="532" ht="15.75" customHeight="1">
      <c r="A532" s="3"/>
      <c r="B532" s="3"/>
    </row>
    <row r="533" ht="15.75" customHeight="1">
      <c r="A533" s="3"/>
      <c r="B533" s="3"/>
    </row>
    <row r="534" ht="15.75" customHeight="1">
      <c r="A534" s="3"/>
      <c r="B534" s="3"/>
    </row>
    <row r="535" ht="15.75" customHeight="1">
      <c r="A535" s="3"/>
      <c r="B535" s="3"/>
    </row>
    <row r="536" ht="15.75" customHeight="1">
      <c r="A536" s="3"/>
      <c r="B536" s="3"/>
    </row>
    <row r="537" ht="15.75" customHeight="1">
      <c r="A537" s="3"/>
      <c r="B537" s="3"/>
    </row>
    <row r="538" ht="15.75" customHeight="1">
      <c r="A538" s="3"/>
      <c r="B538" s="3"/>
    </row>
    <row r="539" ht="15.75" customHeight="1">
      <c r="A539" s="3"/>
      <c r="B539" s="3"/>
    </row>
    <row r="540" ht="15.75" customHeight="1">
      <c r="A540" s="3"/>
      <c r="B540" s="3"/>
    </row>
    <row r="541" ht="15.75" customHeight="1">
      <c r="A541" s="3"/>
      <c r="B541" s="3"/>
    </row>
    <row r="542" ht="15.75" customHeight="1">
      <c r="A542" s="3"/>
      <c r="B542" s="3"/>
    </row>
    <row r="543" ht="15.75" customHeight="1">
      <c r="A543" s="3"/>
      <c r="B543" s="3"/>
    </row>
    <row r="544" ht="15.75" customHeight="1">
      <c r="A544" s="3"/>
      <c r="B544" s="3"/>
    </row>
    <row r="545" ht="15.75" customHeight="1">
      <c r="A545" s="3"/>
      <c r="B545" s="3"/>
    </row>
    <row r="546" ht="15.75" customHeight="1">
      <c r="A546" s="3"/>
      <c r="B546" s="3"/>
    </row>
    <row r="547" ht="15.75" customHeight="1">
      <c r="A547" s="3"/>
      <c r="B547" s="3"/>
    </row>
    <row r="548" ht="15.75" customHeight="1">
      <c r="A548" s="3"/>
      <c r="B548" s="3"/>
    </row>
    <row r="549" ht="15.75" customHeight="1">
      <c r="A549" s="3"/>
      <c r="B549" s="3"/>
    </row>
    <row r="550" ht="15.75" customHeight="1">
      <c r="A550" s="3"/>
      <c r="B550" s="3"/>
    </row>
    <row r="551" ht="15.75" customHeight="1">
      <c r="A551" s="3"/>
      <c r="B551" s="3"/>
    </row>
    <row r="552" ht="15.75" customHeight="1">
      <c r="A552" s="3"/>
      <c r="B552" s="3"/>
    </row>
    <row r="553" ht="15.75" customHeight="1">
      <c r="A553" s="3"/>
      <c r="B553" s="3"/>
    </row>
    <row r="554" ht="15.75" customHeight="1">
      <c r="A554" s="3"/>
      <c r="B554" s="3"/>
    </row>
    <row r="555" ht="15.75" customHeight="1">
      <c r="A555" s="3"/>
      <c r="B555" s="3"/>
    </row>
    <row r="556" ht="15.75" customHeight="1">
      <c r="A556" s="3"/>
      <c r="B556" s="3"/>
    </row>
    <row r="557" ht="15.75" customHeight="1">
      <c r="A557" s="3"/>
      <c r="B557" s="3"/>
    </row>
    <row r="558" ht="15.75" customHeight="1">
      <c r="A558" s="3"/>
      <c r="B558" s="3"/>
    </row>
    <row r="559" ht="15.75" customHeight="1">
      <c r="A559" s="3"/>
      <c r="B559" s="3"/>
    </row>
    <row r="560" ht="15.75" customHeight="1">
      <c r="A560" s="3"/>
      <c r="B560" s="3"/>
    </row>
    <row r="561" ht="15.75" customHeight="1">
      <c r="A561" s="3"/>
      <c r="B561" s="3"/>
    </row>
    <row r="562" ht="15.75" customHeight="1">
      <c r="A562" s="3"/>
      <c r="B562" s="3"/>
    </row>
    <row r="563" ht="15.75" customHeight="1">
      <c r="A563" s="3"/>
      <c r="B563" s="3"/>
    </row>
    <row r="564" ht="15.75" customHeight="1">
      <c r="A564" s="3"/>
      <c r="B564" s="3"/>
    </row>
    <row r="565" ht="15.75" customHeight="1">
      <c r="A565" s="3"/>
      <c r="B565" s="3"/>
    </row>
    <row r="566" ht="15.75" customHeight="1">
      <c r="A566" s="3"/>
      <c r="B566" s="3"/>
    </row>
    <row r="567" ht="15.75" customHeight="1">
      <c r="A567" s="3"/>
      <c r="B567" s="3"/>
    </row>
    <row r="568" ht="15.75" customHeight="1">
      <c r="A568" s="3"/>
      <c r="B568" s="3"/>
    </row>
    <row r="569" ht="15.75" customHeight="1">
      <c r="A569" s="3"/>
      <c r="B569" s="3"/>
    </row>
    <row r="570" ht="15.75" customHeight="1">
      <c r="A570" s="3"/>
      <c r="B570" s="3"/>
    </row>
    <row r="571" ht="15.75" customHeight="1">
      <c r="A571" s="3"/>
      <c r="B571" s="3"/>
    </row>
    <row r="572" ht="15.75" customHeight="1">
      <c r="A572" s="3"/>
      <c r="B572" s="3"/>
    </row>
    <row r="573" ht="15.75" customHeight="1">
      <c r="A573" s="3"/>
      <c r="B573" s="3"/>
    </row>
    <row r="574" ht="15.75" customHeight="1">
      <c r="A574" s="3"/>
      <c r="B574" s="3"/>
    </row>
    <row r="575" ht="15.75" customHeight="1">
      <c r="A575" s="3"/>
      <c r="B575" s="3"/>
    </row>
    <row r="576" ht="15.75" customHeight="1">
      <c r="A576" s="3"/>
      <c r="B576" s="3"/>
    </row>
    <row r="577" ht="15.75" customHeight="1">
      <c r="A577" s="3"/>
      <c r="B577" s="3"/>
    </row>
    <row r="578" ht="15.75" customHeight="1">
      <c r="A578" s="3"/>
      <c r="B578" s="3"/>
    </row>
    <row r="579" ht="15.75" customHeight="1">
      <c r="A579" s="3"/>
      <c r="B579" s="3"/>
    </row>
    <row r="580" ht="15.75" customHeight="1">
      <c r="A580" s="3"/>
      <c r="B580" s="3"/>
    </row>
    <row r="581" ht="15.75" customHeight="1">
      <c r="A581" s="3"/>
      <c r="B581" s="3"/>
    </row>
    <row r="582" ht="15.75" customHeight="1">
      <c r="A582" s="3"/>
      <c r="B582" s="3"/>
    </row>
    <row r="583" ht="15.75" customHeight="1">
      <c r="A583" s="3"/>
      <c r="B583" s="3"/>
    </row>
    <row r="584" ht="15.75" customHeight="1">
      <c r="A584" s="3"/>
      <c r="B584" s="3"/>
    </row>
    <row r="585" ht="15.75" customHeight="1">
      <c r="A585" s="3"/>
      <c r="B585" s="3"/>
    </row>
    <row r="586" ht="15.75" customHeight="1">
      <c r="A586" s="3"/>
      <c r="B586" s="3"/>
    </row>
    <row r="587" ht="15.75" customHeight="1">
      <c r="A587" s="3"/>
      <c r="B587" s="3"/>
    </row>
    <row r="588" ht="15.75" customHeight="1">
      <c r="A588" s="3"/>
      <c r="B588" s="3"/>
    </row>
    <row r="589" ht="15.75" customHeight="1">
      <c r="A589" s="3"/>
      <c r="B589" s="3"/>
    </row>
    <row r="590" ht="15.75" customHeight="1">
      <c r="A590" s="3"/>
      <c r="B590" s="3"/>
    </row>
    <row r="591" ht="15.75" customHeight="1">
      <c r="A591" s="3"/>
      <c r="B591" s="3"/>
    </row>
    <row r="592" ht="15.75" customHeight="1">
      <c r="A592" s="3"/>
      <c r="B592" s="3"/>
    </row>
    <row r="593" ht="15.75" customHeight="1">
      <c r="A593" s="3"/>
      <c r="B593" s="3"/>
    </row>
    <row r="594" ht="15.75" customHeight="1">
      <c r="A594" s="3"/>
      <c r="B594" s="3"/>
    </row>
    <row r="595" ht="15.75" customHeight="1">
      <c r="A595" s="3"/>
      <c r="B595" s="3"/>
    </row>
    <row r="596" ht="15.75" customHeight="1">
      <c r="A596" s="3"/>
      <c r="B596" s="3"/>
    </row>
    <row r="597" ht="15.75" customHeight="1">
      <c r="A597" s="3"/>
      <c r="B597" s="3"/>
    </row>
    <row r="598" ht="15.75" customHeight="1">
      <c r="A598" s="3"/>
      <c r="B598" s="3"/>
    </row>
    <row r="599" ht="15.75" customHeight="1">
      <c r="A599" s="3"/>
      <c r="B599" s="3"/>
    </row>
    <row r="600" ht="15.75" customHeight="1">
      <c r="A600" s="3"/>
      <c r="B600" s="3"/>
    </row>
    <row r="601" ht="15.75" customHeight="1">
      <c r="A601" s="3"/>
      <c r="B601" s="3"/>
    </row>
    <row r="602" ht="15.75" customHeight="1">
      <c r="A602" s="3"/>
      <c r="B602" s="3"/>
    </row>
    <row r="603" ht="15.75" customHeight="1">
      <c r="A603" s="3"/>
      <c r="B603" s="3"/>
    </row>
    <row r="604" ht="15.75" customHeight="1">
      <c r="A604" s="3"/>
      <c r="B604" s="3"/>
    </row>
    <row r="605" ht="15.75" customHeight="1">
      <c r="A605" s="3"/>
      <c r="B605" s="3"/>
    </row>
    <row r="606" ht="15.75" customHeight="1">
      <c r="A606" s="3"/>
      <c r="B606" s="3"/>
    </row>
    <row r="607" ht="15.75" customHeight="1">
      <c r="A607" s="3"/>
      <c r="B607" s="3"/>
    </row>
    <row r="608" ht="15.75" customHeight="1">
      <c r="A608" s="3"/>
      <c r="B608" s="3"/>
    </row>
    <row r="609" ht="15.75" customHeight="1">
      <c r="A609" s="3"/>
      <c r="B609" s="3"/>
    </row>
    <row r="610" ht="15.75" customHeight="1">
      <c r="A610" s="3"/>
      <c r="B610" s="3"/>
    </row>
    <row r="611" ht="15.75" customHeight="1">
      <c r="A611" s="3"/>
      <c r="B611" s="3"/>
    </row>
    <row r="612" ht="15.75" customHeight="1">
      <c r="A612" s="3"/>
      <c r="B612" s="3"/>
    </row>
    <row r="613" ht="15.75" customHeight="1">
      <c r="A613" s="3"/>
      <c r="B613" s="3"/>
    </row>
    <row r="614" ht="15.75" customHeight="1">
      <c r="A614" s="3"/>
      <c r="B614" s="3"/>
    </row>
    <row r="615" ht="15.75" customHeight="1">
      <c r="A615" s="3"/>
      <c r="B615" s="3"/>
    </row>
    <row r="616" ht="15.75" customHeight="1">
      <c r="A616" s="3"/>
      <c r="B616" s="3"/>
    </row>
    <row r="617" ht="15.75" customHeight="1">
      <c r="A617" s="3"/>
      <c r="B617" s="3"/>
    </row>
    <row r="618" ht="15.75" customHeight="1">
      <c r="A618" s="3"/>
      <c r="B618" s="3"/>
    </row>
    <row r="619" ht="15.75" customHeight="1">
      <c r="A619" s="3"/>
      <c r="B619" s="3"/>
    </row>
    <row r="620" ht="15.75" customHeight="1">
      <c r="A620" s="3"/>
      <c r="B620" s="3"/>
    </row>
    <row r="621" ht="15.75" customHeight="1">
      <c r="A621" s="3"/>
      <c r="B621" s="3"/>
    </row>
    <row r="622" ht="15.75" customHeight="1">
      <c r="A622" s="3"/>
      <c r="B622" s="3"/>
    </row>
    <row r="623" ht="15.75" customHeight="1">
      <c r="A623" s="3"/>
      <c r="B623" s="3"/>
    </row>
    <row r="624" ht="15.75" customHeight="1">
      <c r="A624" s="3"/>
      <c r="B624" s="3"/>
    </row>
    <row r="625" ht="15.75" customHeight="1">
      <c r="A625" s="3"/>
      <c r="B625" s="3"/>
    </row>
    <row r="626" ht="15.75" customHeight="1">
      <c r="A626" s="3"/>
      <c r="B626" s="3"/>
    </row>
    <row r="627" ht="15.75" customHeight="1">
      <c r="A627" s="3"/>
      <c r="B627" s="3"/>
    </row>
    <row r="628" ht="15.75" customHeight="1">
      <c r="A628" s="3"/>
      <c r="B628" s="3"/>
    </row>
    <row r="629" ht="15.75" customHeight="1">
      <c r="A629" s="3"/>
      <c r="B629" s="3"/>
    </row>
    <row r="630" ht="15.75" customHeight="1">
      <c r="A630" s="3"/>
      <c r="B630" s="3"/>
    </row>
    <row r="631" ht="15.75" customHeight="1">
      <c r="A631" s="3"/>
      <c r="B631" s="3"/>
    </row>
    <row r="632" ht="15.75" customHeight="1">
      <c r="A632" s="3"/>
      <c r="B632" s="3"/>
    </row>
    <row r="633" ht="15.75" customHeight="1">
      <c r="A633" s="3"/>
      <c r="B633" s="3"/>
    </row>
    <row r="634" ht="15.75" customHeight="1">
      <c r="A634" s="3"/>
      <c r="B634" s="3"/>
    </row>
    <row r="635" ht="15.75" customHeight="1">
      <c r="A635" s="3"/>
      <c r="B635" s="3"/>
    </row>
    <row r="636" ht="15.75" customHeight="1">
      <c r="A636" s="3"/>
      <c r="B636" s="3"/>
    </row>
    <row r="637" ht="15.75" customHeight="1">
      <c r="A637" s="3"/>
      <c r="B637" s="3"/>
    </row>
    <row r="638" ht="15.75" customHeight="1">
      <c r="A638" s="3"/>
      <c r="B638" s="3"/>
    </row>
    <row r="639" ht="15.75" customHeight="1">
      <c r="A639" s="3"/>
      <c r="B639" s="3"/>
    </row>
    <row r="640" ht="15.75" customHeight="1">
      <c r="A640" s="3"/>
      <c r="B640" s="3"/>
    </row>
    <row r="641" ht="15.75" customHeight="1">
      <c r="A641" s="3"/>
      <c r="B641" s="3"/>
    </row>
    <row r="642" ht="15.75" customHeight="1">
      <c r="A642" s="3"/>
      <c r="B642" s="3"/>
    </row>
    <row r="643" ht="15.75" customHeight="1">
      <c r="A643" s="3"/>
      <c r="B643" s="3"/>
    </row>
    <row r="644" ht="15.75" customHeight="1">
      <c r="A644" s="3"/>
      <c r="B644" s="3"/>
    </row>
    <row r="645" ht="15.75" customHeight="1">
      <c r="A645" s="3"/>
      <c r="B645" s="3"/>
    </row>
    <row r="646" ht="15.75" customHeight="1">
      <c r="A646" s="3"/>
      <c r="B646" s="3"/>
    </row>
    <row r="647" ht="15.75" customHeight="1">
      <c r="A647" s="3"/>
      <c r="B647" s="3"/>
    </row>
    <row r="648" ht="15.75" customHeight="1">
      <c r="A648" s="3"/>
      <c r="B648" s="3"/>
    </row>
    <row r="649" ht="15.75" customHeight="1">
      <c r="A649" s="3"/>
      <c r="B649" s="3"/>
    </row>
    <row r="650" ht="15.75" customHeight="1">
      <c r="A650" s="3"/>
      <c r="B650" s="3"/>
    </row>
    <row r="651" ht="15.75" customHeight="1">
      <c r="A651" s="3"/>
      <c r="B651" s="3"/>
    </row>
    <row r="652" ht="15.75" customHeight="1">
      <c r="A652" s="3"/>
      <c r="B652" s="3"/>
    </row>
    <row r="653" ht="15.75" customHeight="1">
      <c r="A653" s="3"/>
      <c r="B653" s="3"/>
    </row>
    <row r="654" ht="15.75" customHeight="1">
      <c r="A654" s="3"/>
      <c r="B654" s="3"/>
    </row>
    <row r="655" ht="15.75" customHeight="1">
      <c r="A655" s="3"/>
      <c r="B655" s="3"/>
    </row>
    <row r="656" ht="15.75" customHeight="1">
      <c r="A656" s="3"/>
      <c r="B656" s="3"/>
    </row>
    <row r="657" ht="15.75" customHeight="1">
      <c r="A657" s="3"/>
      <c r="B657" s="3"/>
    </row>
    <row r="658" ht="15.75" customHeight="1">
      <c r="A658" s="3"/>
      <c r="B658" s="3"/>
    </row>
    <row r="659" ht="15.75" customHeight="1">
      <c r="A659" s="3"/>
      <c r="B659" s="3"/>
    </row>
    <row r="660" ht="15.75" customHeight="1">
      <c r="A660" s="3"/>
      <c r="B660" s="3"/>
    </row>
    <row r="661" ht="15.75" customHeight="1">
      <c r="A661" s="3"/>
      <c r="B661" s="3"/>
    </row>
    <row r="662" ht="15.75" customHeight="1">
      <c r="A662" s="3"/>
      <c r="B662" s="3"/>
    </row>
    <row r="663" ht="15.75" customHeight="1">
      <c r="A663" s="3"/>
      <c r="B663" s="3"/>
    </row>
    <row r="664" ht="15.75" customHeight="1">
      <c r="A664" s="3"/>
      <c r="B664" s="3"/>
    </row>
    <row r="665" ht="15.75" customHeight="1">
      <c r="A665" s="3"/>
      <c r="B665" s="3"/>
    </row>
    <row r="666" ht="15.75" customHeight="1">
      <c r="A666" s="3"/>
      <c r="B666" s="3"/>
    </row>
    <row r="667" ht="15.75" customHeight="1">
      <c r="A667" s="3"/>
      <c r="B667" s="3"/>
    </row>
    <row r="668" ht="15.75" customHeight="1">
      <c r="A668" s="3"/>
      <c r="B668" s="3"/>
    </row>
    <row r="669" ht="15.75" customHeight="1">
      <c r="A669" s="3"/>
      <c r="B669" s="3"/>
    </row>
    <row r="670" ht="15.75" customHeight="1">
      <c r="A670" s="3"/>
      <c r="B670" s="3"/>
    </row>
    <row r="671" ht="15.75" customHeight="1">
      <c r="A671" s="3"/>
      <c r="B671" s="3"/>
    </row>
    <row r="672" ht="15.75" customHeight="1">
      <c r="A672" s="3"/>
      <c r="B672" s="3"/>
    </row>
    <row r="673" ht="15.75" customHeight="1">
      <c r="A673" s="3"/>
      <c r="B673" s="3"/>
    </row>
    <row r="674" ht="15.75" customHeight="1">
      <c r="A674" s="3"/>
      <c r="B674" s="3"/>
    </row>
    <row r="675" ht="15.75" customHeight="1">
      <c r="A675" s="3"/>
      <c r="B675" s="3"/>
    </row>
    <row r="676" ht="15.75" customHeight="1">
      <c r="A676" s="3"/>
      <c r="B676" s="3"/>
    </row>
    <row r="677" ht="15.75" customHeight="1">
      <c r="A677" s="3"/>
      <c r="B677" s="3"/>
    </row>
    <row r="678" ht="15.75" customHeight="1">
      <c r="A678" s="3"/>
      <c r="B678" s="3"/>
    </row>
    <row r="679" ht="15.75" customHeight="1">
      <c r="A679" s="3"/>
      <c r="B679" s="3"/>
    </row>
    <row r="680" ht="15.75" customHeight="1">
      <c r="A680" s="3"/>
      <c r="B680" s="3"/>
    </row>
    <row r="681" ht="15.75" customHeight="1">
      <c r="A681" s="3"/>
      <c r="B681" s="3"/>
    </row>
    <row r="682" ht="15.75" customHeight="1">
      <c r="A682" s="3"/>
      <c r="B682" s="3"/>
    </row>
    <row r="683" ht="15.75" customHeight="1">
      <c r="A683" s="3"/>
      <c r="B683" s="3"/>
    </row>
    <row r="684" ht="15.75" customHeight="1">
      <c r="A684" s="3"/>
      <c r="B684" s="3"/>
    </row>
    <row r="685" ht="15.75" customHeight="1">
      <c r="A685" s="3"/>
      <c r="B685" s="3"/>
    </row>
    <row r="686" ht="15.75" customHeight="1">
      <c r="A686" s="3"/>
      <c r="B686" s="3"/>
    </row>
    <row r="687" ht="15.75" customHeight="1">
      <c r="A687" s="3"/>
      <c r="B687" s="3"/>
    </row>
    <row r="688" ht="15.75" customHeight="1">
      <c r="A688" s="3"/>
      <c r="B688" s="3"/>
    </row>
    <row r="689" ht="15.75" customHeight="1">
      <c r="A689" s="3"/>
      <c r="B689" s="3"/>
    </row>
    <row r="690" ht="15.75" customHeight="1">
      <c r="A690" s="3"/>
      <c r="B690" s="3"/>
    </row>
    <row r="691" ht="15.75" customHeight="1">
      <c r="A691" s="3"/>
      <c r="B691" s="3"/>
    </row>
    <row r="692" ht="15.75" customHeight="1">
      <c r="A692" s="3"/>
      <c r="B692" s="3"/>
    </row>
    <row r="693" ht="15.75" customHeight="1">
      <c r="A693" s="3"/>
      <c r="B693" s="3"/>
    </row>
    <row r="694" ht="15.75" customHeight="1">
      <c r="A694" s="3"/>
      <c r="B694" s="3"/>
    </row>
    <row r="695" ht="15.75" customHeight="1">
      <c r="A695" s="3"/>
      <c r="B695" s="3"/>
    </row>
    <row r="696" ht="15.75" customHeight="1">
      <c r="A696" s="3"/>
      <c r="B696" s="3"/>
    </row>
    <row r="697" ht="15.75" customHeight="1">
      <c r="A697" s="3"/>
      <c r="B697" s="3"/>
    </row>
    <row r="698" ht="15.75" customHeight="1">
      <c r="A698" s="3"/>
      <c r="B698" s="3"/>
    </row>
    <row r="699" ht="15.75" customHeight="1">
      <c r="A699" s="3"/>
      <c r="B699" s="3"/>
    </row>
    <row r="700" ht="15.75" customHeight="1">
      <c r="A700" s="3"/>
      <c r="B700" s="3"/>
    </row>
    <row r="701" ht="15.75" customHeight="1">
      <c r="A701" s="3"/>
      <c r="B701" s="3"/>
    </row>
    <row r="702" ht="15.75" customHeight="1">
      <c r="A702" s="3"/>
      <c r="B702" s="3"/>
    </row>
    <row r="703" ht="15.75" customHeight="1">
      <c r="A703" s="3"/>
      <c r="B703" s="3"/>
    </row>
    <row r="704" ht="15.75" customHeight="1">
      <c r="A704" s="3"/>
      <c r="B704" s="3"/>
    </row>
    <row r="705" ht="15.75" customHeight="1">
      <c r="A705" s="3"/>
      <c r="B705" s="3"/>
    </row>
    <row r="706" ht="15.75" customHeight="1">
      <c r="A706" s="3"/>
      <c r="B706" s="3"/>
    </row>
    <row r="707" ht="15.75" customHeight="1">
      <c r="A707" s="3"/>
      <c r="B707" s="3"/>
    </row>
    <row r="708" ht="15.75" customHeight="1">
      <c r="A708" s="3"/>
      <c r="B708" s="3"/>
    </row>
    <row r="709" ht="15.75" customHeight="1">
      <c r="A709" s="3"/>
      <c r="B709" s="3"/>
    </row>
    <row r="710" ht="15.75" customHeight="1">
      <c r="A710" s="3"/>
      <c r="B710" s="3"/>
    </row>
    <row r="711" ht="15.75" customHeight="1">
      <c r="A711" s="3"/>
      <c r="B711" s="3"/>
    </row>
    <row r="712" ht="15.75" customHeight="1">
      <c r="A712" s="3"/>
      <c r="B712" s="3"/>
    </row>
    <row r="713" ht="15.75" customHeight="1">
      <c r="A713" s="3"/>
      <c r="B713" s="3"/>
    </row>
    <row r="714" ht="15.75" customHeight="1">
      <c r="A714" s="3"/>
      <c r="B714" s="3"/>
    </row>
    <row r="715" ht="15.75" customHeight="1">
      <c r="A715" s="3"/>
      <c r="B715" s="3"/>
    </row>
    <row r="716" ht="15.75" customHeight="1">
      <c r="A716" s="3"/>
      <c r="B716" s="3"/>
    </row>
    <row r="717" ht="15.75" customHeight="1">
      <c r="A717" s="3"/>
      <c r="B717" s="3"/>
    </row>
    <row r="718" ht="15.75" customHeight="1">
      <c r="A718" s="3"/>
      <c r="B718" s="3"/>
    </row>
    <row r="719" ht="15.75" customHeight="1">
      <c r="A719" s="3"/>
      <c r="B719" s="3"/>
    </row>
    <row r="720" ht="15.75" customHeight="1">
      <c r="A720" s="3"/>
      <c r="B720" s="3"/>
    </row>
    <row r="721" ht="15.75" customHeight="1">
      <c r="A721" s="3"/>
      <c r="B721" s="3"/>
    </row>
    <row r="722" ht="15.75" customHeight="1">
      <c r="A722" s="3"/>
      <c r="B722" s="3"/>
    </row>
    <row r="723" ht="15.75" customHeight="1">
      <c r="A723" s="3"/>
      <c r="B723" s="3"/>
    </row>
    <row r="724" ht="15.75" customHeight="1">
      <c r="A724" s="3"/>
      <c r="B724" s="3"/>
    </row>
    <row r="725" ht="15.75" customHeight="1">
      <c r="A725" s="3"/>
      <c r="B725" s="3"/>
    </row>
    <row r="726" ht="15.75" customHeight="1">
      <c r="A726" s="3"/>
      <c r="B726" s="3"/>
    </row>
    <row r="727" ht="15.75" customHeight="1">
      <c r="A727" s="3"/>
      <c r="B727" s="3"/>
    </row>
    <row r="728" ht="15.75" customHeight="1">
      <c r="A728" s="3"/>
      <c r="B728" s="3"/>
    </row>
    <row r="729" ht="15.75" customHeight="1">
      <c r="A729" s="3"/>
      <c r="B729" s="3"/>
    </row>
    <row r="730" ht="15.75" customHeight="1">
      <c r="A730" s="3"/>
      <c r="B730" s="3"/>
    </row>
    <row r="731" ht="15.75" customHeight="1">
      <c r="A731" s="3"/>
      <c r="B731" s="3"/>
    </row>
    <row r="732" ht="15.75" customHeight="1">
      <c r="A732" s="3"/>
      <c r="B732" s="3"/>
    </row>
    <row r="733" ht="15.75" customHeight="1">
      <c r="A733" s="3"/>
      <c r="B733" s="3"/>
    </row>
    <row r="734" ht="15.75" customHeight="1">
      <c r="A734" s="3"/>
      <c r="B734" s="3"/>
    </row>
    <row r="735" ht="15.75" customHeight="1">
      <c r="A735" s="3"/>
      <c r="B735" s="3"/>
    </row>
    <row r="736" ht="15.75" customHeight="1">
      <c r="A736" s="3"/>
      <c r="B736" s="3"/>
    </row>
    <row r="737" ht="15.75" customHeight="1">
      <c r="A737" s="3"/>
      <c r="B737" s="3"/>
    </row>
    <row r="738" ht="15.75" customHeight="1">
      <c r="A738" s="3"/>
      <c r="B738" s="3"/>
    </row>
    <row r="739" ht="15.75" customHeight="1">
      <c r="A739" s="3"/>
      <c r="B739" s="3"/>
    </row>
    <row r="740" ht="15.75" customHeight="1">
      <c r="A740" s="3"/>
      <c r="B740" s="3"/>
    </row>
    <row r="741" ht="15.75" customHeight="1">
      <c r="A741" s="3"/>
      <c r="B741" s="3"/>
    </row>
    <row r="742" ht="15.75" customHeight="1">
      <c r="A742" s="3"/>
      <c r="B742" s="3"/>
    </row>
    <row r="743" ht="15.75" customHeight="1">
      <c r="A743" s="3"/>
      <c r="B743" s="3"/>
    </row>
    <row r="744" ht="15.75" customHeight="1">
      <c r="A744" s="3"/>
      <c r="B744" s="3"/>
    </row>
    <row r="745" ht="15.75" customHeight="1">
      <c r="A745" s="3"/>
      <c r="B745" s="3"/>
    </row>
    <row r="746" ht="15.75" customHeight="1">
      <c r="A746" s="3"/>
      <c r="B746" s="3"/>
    </row>
    <row r="747" ht="15.75" customHeight="1">
      <c r="A747" s="3"/>
      <c r="B747" s="3"/>
    </row>
    <row r="748" ht="15.75" customHeight="1">
      <c r="A748" s="3"/>
      <c r="B748" s="3"/>
    </row>
    <row r="749" ht="15.75" customHeight="1">
      <c r="A749" s="3"/>
      <c r="B749" s="3"/>
    </row>
    <row r="750" ht="15.75" customHeight="1">
      <c r="A750" s="3"/>
      <c r="B750" s="3"/>
    </row>
    <row r="751" ht="15.75" customHeight="1">
      <c r="A751" s="3"/>
      <c r="B751" s="3"/>
    </row>
    <row r="752" ht="15.75" customHeight="1">
      <c r="A752" s="3"/>
      <c r="B752" s="3"/>
    </row>
    <row r="753" ht="15.75" customHeight="1">
      <c r="A753" s="3"/>
      <c r="B753" s="3"/>
    </row>
    <row r="754" ht="15.75" customHeight="1">
      <c r="A754" s="3"/>
      <c r="B754" s="3"/>
    </row>
    <row r="755" ht="15.75" customHeight="1">
      <c r="A755" s="3"/>
      <c r="B755" s="3"/>
    </row>
    <row r="756" ht="15.75" customHeight="1">
      <c r="A756" s="3"/>
      <c r="B756" s="3"/>
    </row>
    <row r="757" ht="15.75" customHeight="1">
      <c r="A757" s="3"/>
      <c r="B757" s="3"/>
    </row>
    <row r="758" ht="15.75" customHeight="1">
      <c r="A758" s="3"/>
      <c r="B758" s="3"/>
    </row>
    <row r="759" ht="15.75" customHeight="1">
      <c r="A759" s="3"/>
      <c r="B759" s="3"/>
    </row>
    <row r="760" ht="15.75" customHeight="1">
      <c r="A760" s="3"/>
      <c r="B760" s="3"/>
    </row>
    <row r="761" ht="15.75" customHeight="1">
      <c r="A761" s="3"/>
      <c r="B761" s="3"/>
    </row>
    <row r="762" ht="15.75" customHeight="1">
      <c r="A762" s="3"/>
      <c r="B762" s="3"/>
    </row>
    <row r="763" ht="15.75" customHeight="1">
      <c r="A763" s="3"/>
      <c r="B763" s="3"/>
    </row>
    <row r="764" ht="15.75" customHeight="1">
      <c r="A764" s="3"/>
      <c r="B764" s="3"/>
    </row>
    <row r="765" ht="15.75" customHeight="1">
      <c r="A765" s="3"/>
      <c r="B765" s="3"/>
    </row>
    <row r="766" ht="15.75" customHeight="1">
      <c r="A766" s="3"/>
      <c r="B766" s="3"/>
    </row>
    <row r="767" ht="15.75" customHeight="1">
      <c r="A767" s="3"/>
      <c r="B767" s="3"/>
    </row>
    <row r="768" ht="15.75" customHeight="1">
      <c r="A768" s="3"/>
      <c r="B768" s="3"/>
    </row>
    <row r="769" ht="15.75" customHeight="1">
      <c r="A769" s="3"/>
      <c r="B769" s="3"/>
    </row>
    <row r="770" ht="15.75" customHeight="1">
      <c r="A770" s="3"/>
      <c r="B770" s="3"/>
    </row>
    <row r="771" ht="15.75" customHeight="1">
      <c r="A771" s="3"/>
      <c r="B771" s="3"/>
    </row>
    <row r="772" ht="15.75" customHeight="1">
      <c r="A772" s="3"/>
      <c r="B772" s="3"/>
    </row>
    <row r="773" ht="15.75" customHeight="1">
      <c r="A773" s="3"/>
      <c r="B773" s="3"/>
    </row>
    <row r="774" ht="15.75" customHeight="1">
      <c r="A774" s="3"/>
      <c r="B774" s="3"/>
    </row>
    <row r="775" ht="15.75" customHeight="1">
      <c r="A775" s="3"/>
      <c r="B775" s="3"/>
    </row>
    <row r="776" ht="15.75" customHeight="1">
      <c r="A776" s="3"/>
      <c r="B776" s="3"/>
    </row>
    <row r="777" ht="15.75" customHeight="1">
      <c r="A777" s="3"/>
      <c r="B777" s="3"/>
    </row>
    <row r="778" ht="15.75" customHeight="1">
      <c r="A778" s="3"/>
      <c r="B778" s="3"/>
    </row>
    <row r="779" ht="15.75" customHeight="1">
      <c r="A779" s="3"/>
      <c r="B779" s="3"/>
    </row>
    <row r="780" ht="15.75" customHeight="1">
      <c r="A780" s="3"/>
      <c r="B780" s="3"/>
    </row>
    <row r="781" ht="15.75" customHeight="1">
      <c r="A781" s="3"/>
      <c r="B781" s="3"/>
    </row>
    <row r="782" ht="15.75" customHeight="1">
      <c r="A782" s="3"/>
      <c r="B782" s="3"/>
    </row>
    <row r="783" ht="15.75" customHeight="1">
      <c r="A783" s="3"/>
      <c r="B783" s="3"/>
    </row>
    <row r="784" ht="15.75" customHeight="1">
      <c r="A784" s="3"/>
      <c r="B784" s="3"/>
    </row>
    <row r="785" ht="15.75" customHeight="1">
      <c r="A785" s="3"/>
      <c r="B785" s="3"/>
    </row>
    <row r="786" ht="15.75" customHeight="1">
      <c r="A786" s="3"/>
      <c r="B786" s="3"/>
    </row>
    <row r="787" ht="15.75" customHeight="1">
      <c r="A787" s="3"/>
      <c r="B787" s="3"/>
    </row>
    <row r="788" ht="15.75" customHeight="1">
      <c r="A788" s="3"/>
      <c r="B788" s="3"/>
    </row>
    <row r="789" ht="15.75" customHeight="1">
      <c r="A789" s="3"/>
      <c r="B789" s="3"/>
    </row>
    <row r="790" ht="15.75" customHeight="1">
      <c r="A790" s="3"/>
      <c r="B790" s="3"/>
    </row>
    <row r="791" ht="15.75" customHeight="1">
      <c r="A791" s="3"/>
      <c r="B791" s="3"/>
    </row>
    <row r="792" ht="15.75" customHeight="1">
      <c r="A792" s="3"/>
      <c r="B792" s="3"/>
    </row>
    <row r="793" ht="15.75" customHeight="1">
      <c r="A793" s="3"/>
      <c r="B793" s="3"/>
    </row>
    <row r="794" ht="15.75" customHeight="1">
      <c r="A794" s="3"/>
      <c r="B794" s="3"/>
    </row>
    <row r="795" ht="15.75" customHeight="1">
      <c r="A795" s="3"/>
      <c r="B795" s="3"/>
    </row>
    <row r="796" ht="15.75" customHeight="1">
      <c r="A796" s="3"/>
      <c r="B796" s="3"/>
    </row>
    <row r="797" ht="15.75" customHeight="1">
      <c r="A797" s="3"/>
      <c r="B797" s="3"/>
    </row>
    <row r="798" ht="15.75" customHeight="1">
      <c r="A798" s="3"/>
      <c r="B798" s="3"/>
    </row>
    <row r="799" ht="15.75" customHeight="1">
      <c r="A799" s="3"/>
      <c r="B799" s="3"/>
    </row>
    <row r="800" ht="15.75" customHeight="1">
      <c r="A800" s="3"/>
      <c r="B800" s="3"/>
    </row>
    <row r="801" ht="15.75" customHeight="1">
      <c r="A801" s="3"/>
      <c r="B801" s="3"/>
    </row>
    <row r="802" ht="15.75" customHeight="1">
      <c r="A802" s="3"/>
      <c r="B802" s="3"/>
    </row>
    <row r="803" ht="15.75" customHeight="1">
      <c r="A803" s="3"/>
      <c r="B803" s="3"/>
    </row>
    <row r="804" ht="15.75" customHeight="1">
      <c r="A804" s="3"/>
      <c r="B804" s="3"/>
    </row>
    <row r="805" ht="15.75" customHeight="1">
      <c r="A805" s="3"/>
      <c r="B805" s="3"/>
    </row>
    <row r="806" ht="15.75" customHeight="1">
      <c r="A806" s="3"/>
      <c r="B806" s="3"/>
    </row>
    <row r="807" ht="15.75" customHeight="1">
      <c r="A807" s="3"/>
      <c r="B807" s="3"/>
    </row>
    <row r="808" ht="15.75" customHeight="1">
      <c r="A808" s="3"/>
      <c r="B808" s="3"/>
    </row>
    <row r="809" ht="15.75" customHeight="1">
      <c r="A809" s="3"/>
      <c r="B809" s="3"/>
    </row>
    <row r="810" ht="15.75" customHeight="1">
      <c r="A810" s="3"/>
      <c r="B810" s="3"/>
    </row>
    <row r="811" ht="15.75" customHeight="1">
      <c r="A811" s="3"/>
      <c r="B811" s="3"/>
    </row>
    <row r="812" ht="15.75" customHeight="1">
      <c r="A812" s="3"/>
      <c r="B812" s="3"/>
    </row>
    <row r="813" ht="15.75" customHeight="1">
      <c r="A813" s="3"/>
      <c r="B813" s="3"/>
    </row>
    <row r="814" ht="15.75" customHeight="1">
      <c r="A814" s="3"/>
      <c r="B814" s="3"/>
    </row>
    <row r="815" ht="15.75" customHeight="1">
      <c r="A815" s="3"/>
      <c r="B815" s="3"/>
    </row>
    <row r="816" ht="15.75" customHeight="1">
      <c r="A816" s="3"/>
      <c r="B816" s="3"/>
    </row>
    <row r="817" ht="15.75" customHeight="1">
      <c r="A817" s="3"/>
      <c r="B817" s="3"/>
    </row>
    <row r="818" ht="15.75" customHeight="1">
      <c r="A818" s="3"/>
      <c r="B818" s="3"/>
    </row>
    <row r="819" ht="15.75" customHeight="1">
      <c r="A819" s="3"/>
      <c r="B819" s="3"/>
    </row>
    <row r="820" ht="15.75" customHeight="1">
      <c r="A820" s="3"/>
      <c r="B820" s="3"/>
    </row>
    <row r="821" ht="15.75" customHeight="1">
      <c r="A821" s="3"/>
      <c r="B821" s="3"/>
    </row>
    <row r="822" ht="15.75" customHeight="1">
      <c r="A822" s="3"/>
      <c r="B822" s="3"/>
    </row>
    <row r="823" ht="15.75" customHeight="1">
      <c r="A823" s="3"/>
      <c r="B823" s="3"/>
    </row>
    <row r="824" ht="15.75" customHeight="1">
      <c r="A824" s="3"/>
      <c r="B824" s="3"/>
    </row>
    <row r="825" ht="15.75" customHeight="1">
      <c r="A825" s="3"/>
      <c r="B825" s="3"/>
    </row>
    <row r="826" ht="15.75" customHeight="1">
      <c r="A826" s="3"/>
      <c r="B826" s="3"/>
    </row>
    <row r="827" ht="15.75" customHeight="1">
      <c r="A827" s="3"/>
      <c r="B827" s="3"/>
    </row>
    <row r="828" ht="15.75" customHeight="1">
      <c r="A828" s="3"/>
      <c r="B828" s="3"/>
    </row>
    <row r="829" ht="15.75" customHeight="1">
      <c r="A829" s="3"/>
      <c r="B829" s="3"/>
    </row>
    <row r="830" ht="15.75" customHeight="1">
      <c r="A830" s="3"/>
      <c r="B830" s="3"/>
    </row>
    <row r="831" ht="15.75" customHeight="1">
      <c r="A831" s="3"/>
      <c r="B831" s="3"/>
    </row>
    <row r="832" ht="15.75" customHeight="1">
      <c r="A832" s="3"/>
      <c r="B832" s="3"/>
    </row>
    <row r="833" ht="15.75" customHeight="1">
      <c r="A833" s="3"/>
      <c r="B833" s="3"/>
    </row>
    <row r="834" ht="15.75" customHeight="1">
      <c r="A834" s="3"/>
      <c r="B834" s="3"/>
    </row>
    <row r="835" ht="15.75" customHeight="1">
      <c r="A835" s="3"/>
      <c r="B835" s="3"/>
    </row>
    <row r="836" ht="15.75" customHeight="1">
      <c r="A836" s="3"/>
      <c r="B836" s="3"/>
    </row>
    <row r="837" ht="15.75" customHeight="1">
      <c r="A837" s="3"/>
      <c r="B837" s="3"/>
    </row>
    <row r="838" ht="15.75" customHeight="1">
      <c r="A838" s="3"/>
      <c r="B838" s="3"/>
    </row>
    <row r="839" ht="15.75" customHeight="1">
      <c r="A839" s="3"/>
      <c r="B839" s="3"/>
    </row>
    <row r="840" ht="15.75" customHeight="1">
      <c r="A840" s="3"/>
      <c r="B840" s="3"/>
    </row>
    <row r="841" ht="15.75" customHeight="1">
      <c r="A841" s="3"/>
      <c r="B841" s="3"/>
    </row>
    <row r="842" ht="15.75" customHeight="1">
      <c r="A842" s="3"/>
      <c r="B842" s="3"/>
    </row>
    <row r="843" ht="15.75" customHeight="1">
      <c r="A843" s="3"/>
      <c r="B843" s="3"/>
    </row>
    <row r="844" ht="15.75" customHeight="1">
      <c r="A844" s="3"/>
      <c r="B844" s="3"/>
    </row>
    <row r="845" ht="15.75" customHeight="1">
      <c r="A845" s="3"/>
      <c r="B845" s="3"/>
    </row>
    <row r="846" ht="15.75" customHeight="1">
      <c r="A846" s="3"/>
      <c r="B846" s="3"/>
    </row>
    <row r="847" ht="15.75" customHeight="1">
      <c r="A847" s="3"/>
      <c r="B847" s="3"/>
    </row>
    <row r="848" ht="15.75" customHeight="1">
      <c r="A848" s="3"/>
      <c r="B848" s="3"/>
    </row>
    <row r="849" ht="15.75" customHeight="1">
      <c r="A849" s="3"/>
      <c r="B849" s="3"/>
    </row>
    <row r="850" ht="15.75" customHeight="1">
      <c r="A850" s="3"/>
      <c r="B850" s="3"/>
    </row>
    <row r="851" ht="15.75" customHeight="1">
      <c r="A851" s="3"/>
      <c r="B851" s="3"/>
    </row>
    <row r="852" ht="15.75" customHeight="1">
      <c r="A852" s="3"/>
      <c r="B852" s="3"/>
    </row>
    <row r="853" ht="15.75" customHeight="1">
      <c r="A853" s="3"/>
      <c r="B853" s="3"/>
    </row>
    <row r="854" ht="15.75" customHeight="1">
      <c r="A854" s="3"/>
      <c r="B854" s="3"/>
    </row>
    <row r="855" ht="15.75" customHeight="1">
      <c r="A855" s="3"/>
      <c r="B855" s="3"/>
    </row>
    <row r="856" ht="15.75" customHeight="1">
      <c r="A856" s="3"/>
      <c r="B856" s="3"/>
    </row>
    <row r="857" ht="15.75" customHeight="1">
      <c r="A857" s="3"/>
      <c r="B857" s="3"/>
    </row>
    <row r="858" ht="15.75" customHeight="1">
      <c r="A858" s="3"/>
      <c r="B858" s="3"/>
    </row>
    <row r="859" ht="15.75" customHeight="1">
      <c r="A859" s="3"/>
      <c r="B859" s="3"/>
    </row>
    <row r="860" ht="15.75" customHeight="1">
      <c r="A860" s="3"/>
      <c r="B860" s="3"/>
    </row>
    <row r="861" ht="15.75" customHeight="1">
      <c r="A861" s="3"/>
      <c r="B861" s="3"/>
    </row>
    <row r="862" ht="15.75" customHeight="1">
      <c r="A862" s="3"/>
      <c r="B862" s="3"/>
    </row>
    <row r="863" ht="15.75" customHeight="1">
      <c r="A863" s="3"/>
      <c r="B863" s="3"/>
    </row>
    <row r="864" ht="15.75" customHeight="1">
      <c r="A864" s="3"/>
      <c r="B864" s="3"/>
    </row>
    <row r="865" ht="15.75" customHeight="1">
      <c r="A865" s="3"/>
      <c r="B865" s="3"/>
    </row>
    <row r="866" ht="15.75" customHeight="1">
      <c r="A866" s="3"/>
      <c r="B866" s="3"/>
    </row>
    <row r="867" ht="15.75" customHeight="1">
      <c r="A867" s="3"/>
      <c r="B867" s="3"/>
    </row>
    <row r="868" ht="15.75" customHeight="1">
      <c r="A868" s="3"/>
      <c r="B868" s="3"/>
    </row>
    <row r="869" ht="15.75" customHeight="1">
      <c r="A869" s="3"/>
      <c r="B869" s="3"/>
    </row>
    <row r="870" ht="15.75" customHeight="1">
      <c r="A870" s="3"/>
      <c r="B870" s="3"/>
    </row>
    <row r="871" ht="15.75" customHeight="1">
      <c r="A871" s="3"/>
      <c r="B871" s="3"/>
    </row>
    <row r="872" ht="15.75" customHeight="1">
      <c r="A872" s="3"/>
      <c r="B872" s="3"/>
    </row>
    <row r="873" ht="15.75" customHeight="1">
      <c r="A873" s="3"/>
      <c r="B873" s="3"/>
    </row>
    <row r="874" ht="15.75" customHeight="1">
      <c r="A874" s="3"/>
      <c r="B874" s="3"/>
    </row>
    <row r="875" ht="15.75" customHeight="1">
      <c r="A875" s="3"/>
      <c r="B875" s="3"/>
    </row>
    <row r="876" ht="15.75" customHeight="1">
      <c r="A876" s="3"/>
      <c r="B876" s="3"/>
    </row>
    <row r="877" ht="15.75" customHeight="1">
      <c r="A877" s="3"/>
      <c r="B877" s="3"/>
    </row>
    <row r="878" ht="15.75" customHeight="1">
      <c r="A878" s="3"/>
      <c r="B878" s="3"/>
    </row>
    <row r="879" ht="15.75" customHeight="1">
      <c r="A879" s="3"/>
      <c r="B879" s="3"/>
    </row>
    <row r="880" ht="15.75" customHeight="1">
      <c r="A880" s="3"/>
      <c r="B880" s="3"/>
    </row>
    <row r="881" ht="15.75" customHeight="1">
      <c r="A881" s="3"/>
      <c r="B881" s="3"/>
    </row>
    <row r="882" ht="15.75" customHeight="1">
      <c r="A882" s="3"/>
      <c r="B882" s="3"/>
    </row>
    <row r="883" ht="15.75" customHeight="1">
      <c r="A883" s="3"/>
      <c r="B883" s="3"/>
    </row>
    <row r="884" ht="15.75" customHeight="1">
      <c r="A884" s="3"/>
      <c r="B884" s="3"/>
    </row>
    <row r="885" ht="15.75" customHeight="1">
      <c r="A885" s="3"/>
      <c r="B885" s="3"/>
    </row>
    <row r="886" ht="15.75" customHeight="1">
      <c r="A886" s="3"/>
      <c r="B886" s="3"/>
    </row>
    <row r="887" ht="15.75" customHeight="1">
      <c r="A887" s="3"/>
      <c r="B887" s="3"/>
    </row>
    <row r="888" ht="15.75" customHeight="1">
      <c r="A888" s="3"/>
      <c r="B888" s="3"/>
    </row>
    <row r="889" ht="15.75" customHeight="1">
      <c r="A889" s="3"/>
      <c r="B889" s="3"/>
    </row>
    <row r="890" ht="15.75" customHeight="1">
      <c r="A890" s="3"/>
      <c r="B890" s="3"/>
    </row>
    <row r="891" ht="15.75" customHeight="1">
      <c r="A891" s="3"/>
      <c r="B891" s="3"/>
    </row>
    <row r="892" ht="15.75" customHeight="1">
      <c r="A892" s="3"/>
      <c r="B892" s="3"/>
    </row>
    <row r="893" ht="15.75" customHeight="1">
      <c r="A893" s="3"/>
      <c r="B893" s="3"/>
    </row>
    <row r="894" ht="15.75" customHeight="1">
      <c r="A894" s="3"/>
      <c r="B894" s="3"/>
    </row>
    <row r="895" ht="15.75" customHeight="1">
      <c r="A895" s="3"/>
      <c r="B895" s="3"/>
    </row>
    <row r="896" ht="15.75" customHeight="1">
      <c r="A896" s="3"/>
      <c r="B896" s="3"/>
    </row>
    <row r="897" ht="15.75" customHeight="1">
      <c r="A897" s="3"/>
      <c r="B897" s="3"/>
    </row>
    <row r="898" ht="15.75" customHeight="1">
      <c r="A898" s="3"/>
      <c r="B898" s="3"/>
    </row>
    <row r="899" ht="15.75" customHeight="1">
      <c r="A899" s="3"/>
      <c r="B899" s="3"/>
    </row>
    <row r="900" ht="15.75" customHeight="1">
      <c r="A900" s="3"/>
      <c r="B900" s="3"/>
    </row>
    <row r="901" ht="15.75" customHeight="1">
      <c r="A901" s="3"/>
      <c r="B901" s="3"/>
    </row>
    <row r="902" ht="15.75" customHeight="1">
      <c r="A902" s="3"/>
      <c r="B902" s="3"/>
    </row>
    <row r="903" ht="15.75" customHeight="1">
      <c r="A903" s="3"/>
      <c r="B903" s="3"/>
    </row>
    <row r="904" ht="15.75" customHeight="1">
      <c r="A904" s="3"/>
      <c r="B904" s="3"/>
    </row>
    <row r="905" ht="15.75" customHeight="1">
      <c r="A905" s="3"/>
      <c r="B905" s="3"/>
    </row>
    <row r="906" ht="15.75" customHeight="1">
      <c r="A906" s="3"/>
      <c r="B906" s="3"/>
    </row>
    <row r="907" ht="15.75" customHeight="1">
      <c r="A907" s="3"/>
      <c r="B907" s="3"/>
    </row>
    <row r="908" ht="15.75" customHeight="1">
      <c r="A908" s="3"/>
      <c r="B908" s="3"/>
    </row>
    <row r="909" ht="15.75" customHeight="1">
      <c r="A909" s="3"/>
      <c r="B909" s="3"/>
    </row>
    <row r="910" ht="15.75" customHeight="1">
      <c r="A910" s="3"/>
      <c r="B910" s="3"/>
    </row>
    <row r="911" ht="15.75" customHeight="1">
      <c r="A911" s="3"/>
      <c r="B911" s="3"/>
    </row>
    <row r="912" ht="15.75" customHeight="1">
      <c r="A912" s="3"/>
      <c r="B912" s="3"/>
    </row>
    <row r="913" ht="15.75" customHeight="1">
      <c r="A913" s="3"/>
      <c r="B913" s="3"/>
    </row>
    <row r="914" ht="15.75" customHeight="1">
      <c r="A914" s="3"/>
      <c r="B914" s="3"/>
    </row>
    <row r="915" ht="15.75" customHeight="1">
      <c r="A915" s="3"/>
      <c r="B915" s="3"/>
    </row>
    <row r="916" ht="15.75" customHeight="1">
      <c r="A916" s="3"/>
      <c r="B916" s="3"/>
    </row>
    <row r="917" ht="15.75" customHeight="1">
      <c r="A917" s="3"/>
      <c r="B917" s="3"/>
    </row>
    <row r="918" ht="15.75" customHeight="1">
      <c r="A918" s="3"/>
      <c r="B918" s="3"/>
    </row>
    <row r="919" ht="15.75" customHeight="1">
      <c r="A919" s="3"/>
      <c r="B919" s="3"/>
    </row>
    <row r="920" ht="15.75" customHeight="1">
      <c r="A920" s="3"/>
      <c r="B920" s="3"/>
    </row>
    <row r="921" ht="15.75" customHeight="1">
      <c r="A921" s="3"/>
      <c r="B921" s="3"/>
    </row>
    <row r="922" ht="15.75" customHeight="1">
      <c r="A922" s="3"/>
      <c r="B922" s="3"/>
    </row>
    <row r="923" ht="15.75" customHeight="1">
      <c r="A923" s="3"/>
      <c r="B923" s="3"/>
    </row>
    <row r="924" ht="15.75" customHeight="1">
      <c r="A924" s="3"/>
      <c r="B924" s="3"/>
    </row>
    <row r="925" ht="15.75" customHeight="1">
      <c r="A925" s="3"/>
      <c r="B925" s="3"/>
    </row>
    <row r="926" ht="15.75" customHeight="1">
      <c r="A926" s="3"/>
      <c r="B926" s="3"/>
    </row>
    <row r="927" ht="15.75" customHeight="1">
      <c r="A927" s="3"/>
      <c r="B927" s="3"/>
    </row>
    <row r="928" ht="15.75" customHeight="1">
      <c r="A928" s="3"/>
      <c r="B928" s="3"/>
    </row>
    <row r="929" ht="15.75" customHeight="1">
      <c r="A929" s="3"/>
      <c r="B929" s="3"/>
    </row>
    <row r="930" ht="15.75" customHeight="1">
      <c r="A930" s="3"/>
      <c r="B930" s="3"/>
    </row>
    <row r="931" ht="15.75" customHeight="1">
      <c r="A931" s="3"/>
      <c r="B931" s="3"/>
    </row>
    <row r="932" ht="15.75" customHeight="1">
      <c r="A932" s="3"/>
      <c r="B932" s="3"/>
    </row>
    <row r="933" ht="15.75" customHeight="1">
      <c r="A933" s="3"/>
      <c r="B933" s="3"/>
    </row>
    <row r="934" ht="15.75" customHeight="1">
      <c r="A934" s="3"/>
      <c r="B934" s="3"/>
    </row>
    <row r="935" ht="15.75" customHeight="1">
      <c r="A935" s="3"/>
      <c r="B935" s="3"/>
    </row>
    <row r="936" ht="15.75" customHeight="1">
      <c r="A936" s="3"/>
      <c r="B936" s="3"/>
    </row>
    <row r="937" ht="15.75" customHeight="1">
      <c r="A937" s="3"/>
      <c r="B937" s="3"/>
    </row>
    <row r="938" ht="15.75" customHeight="1">
      <c r="A938" s="3"/>
      <c r="B938" s="3"/>
    </row>
    <row r="939" ht="15.75" customHeight="1">
      <c r="A939" s="3"/>
      <c r="B939" s="3"/>
    </row>
    <row r="940" ht="15.75" customHeight="1">
      <c r="A940" s="3"/>
      <c r="B940" s="3"/>
    </row>
    <row r="941" ht="15.75" customHeight="1">
      <c r="A941" s="3"/>
      <c r="B941" s="3"/>
    </row>
    <row r="942" ht="15.75" customHeight="1">
      <c r="A942" s="3"/>
      <c r="B942" s="3"/>
    </row>
    <row r="943" ht="15.75" customHeight="1">
      <c r="A943" s="3"/>
      <c r="B943" s="3"/>
    </row>
    <row r="944" ht="15.75" customHeight="1">
      <c r="A944" s="3"/>
      <c r="B944" s="3"/>
    </row>
    <row r="945" ht="15.75" customHeight="1">
      <c r="A945" s="3"/>
      <c r="B945" s="3"/>
    </row>
    <row r="946" ht="15.75" customHeight="1">
      <c r="A946" s="3"/>
      <c r="B946" s="3"/>
    </row>
    <row r="947" ht="15.75" customHeight="1">
      <c r="A947" s="3"/>
      <c r="B947" s="3"/>
    </row>
    <row r="948" ht="15.75" customHeight="1">
      <c r="A948" s="3"/>
      <c r="B948" s="3"/>
    </row>
    <row r="949" ht="15.75" customHeight="1">
      <c r="A949" s="3"/>
      <c r="B949" s="3"/>
    </row>
    <row r="950" ht="15.75" customHeight="1">
      <c r="A950" s="3"/>
      <c r="B950" s="3"/>
    </row>
    <row r="951" ht="15.75" customHeight="1">
      <c r="A951" s="3"/>
      <c r="B951" s="3"/>
    </row>
    <row r="952" ht="15.75" customHeight="1">
      <c r="A952" s="3"/>
      <c r="B952" s="3"/>
    </row>
    <row r="953" ht="15.75" customHeight="1">
      <c r="A953" s="3"/>
      <c r="B953" s="3"/>
    </row>
    <row r="954" ht="15.75" customHeight="1">
      <c r="A954" s="3"/>
      <c r="B954" s="3"/>
    </row>
    <row r="955" ht="15.75" customHeight="1">
      <c r="A955" s="3"/>
      <c r="B955" s="3"/>
    </row>
    <row r="956" ht="15.75" customHeight="1">
      <c r="A956" s="3"/>
      <c r="B956" s="3"/>
    </row>
    <row r="957" ht="15.75" customHeight="1">
      <c r="A957" s="3"/>
      <c r="B957" s="3"/>
    </row>
    <row r="958" ht="15.75" customHeight="1">
      <c r="A958" s="3"/>
      <c r="B958" s="3"/>
    </row>
    <row r="959" ht="15.75" customHeight="1">
      <c r="A959" s="3"/>
      <c r="B959" s="3"/>
    </row>
    <row r="960" ht="15.75" customHeight="1">
      <c r="A960" s="3"/>
      <c r="B960" s="3"/>
    </row>
    <row r="961" ht="15.75" customHeight="1">
      <c r="A961" s="3"/>
      <c r="B961" s="3"/>
    </row>
    <row r="962" ht="15.75" customHeight="1">
      <c r="A962" s="3"/>
      <c r="B962" s="3"/>
    </row>
    <row r="963" ht="15.75" customHeight="1">
      <c r="A963" s="3"/>
      <c r="B963" s="3"/>
    </row>
    <row r="964" ht="15.75" customHeight="1">
      <c r="A964" s="3"/>
      <c r="B964" s="3"/>
    </row>
    <row r="965" ht="15.75" customHeight="1">
      <c r="A965" s="3"/>
      <c r="B965" s="3"/>
    </row>
    <row r="966" ht="15.75" customHeight="1">
      <c r="A966" s="3"/>
      <c r="B966" s="3"/>
    </row>
    <row r="967" ht="15.75" customHeight="1">
      <c r="A967" s="3"/>
      <c r="B967" s="3"/>
    </row>
    <row r="968" ht="15.75" customHeight="1">
      <c r="A968" s="3"/>
      <c r="B968" s="3"/>
    </row>
    <row r="969" ht="15.75" customHeight="1">
      <c r="A969" s="3"/>
      <c r="B969" s="3"/>
    </row>
    <row r="970" ht="15.75" customHeight="1">
      <c r="A970" s="3"/>
      <c r="B970" s="3"/>
    </row>
    <row r="971" ht="15.75" customHeight="1">
      <c r="A971" s="3"/>
      <c r="B971" s="3"/>
    </row>
    <row r="972" ht="15.75" customHeight="1">
      <c r="A972" s="3"/>
      <c r="B972" s="3"/>
    </row>
    <row r="973" ht="15.75" customHeight="1">
      <c r="A973" s="3"/>
      <c r="B973" s="3"/>
    </row>
    <row r="974" ht="15.75" customHeight="1">
      <c r="A974" s="3"/>
      <c r="B974" s="3"/>
    </row>
    <row r="975" ht="15.75" customHeight="1">
      <c r="A975" s="3"/>
      <c r="B975" s="3"/>
    </row>
    <row r="976" ht="15.75" customHeight="1">
      <c r="A976" s="3"/>
      <c r="B976" s="3"/>
    </row>
    <row r="977" ht="15.75" customHeight="1">
      <c r="A977" s="3"/>
      <c r="B977" s="3"/>
    </row>
    <row r="978" ht="15.75" customHeight="1">
      <c r="A978" s="3"/>
      <c r="B978" s="3"/>
    </row>
    <row r="979" ht="15.75" customHeight="1">
      <c r="A979" s="3"/>
      <c r="B979" s="3"/>
    </row>
    <row r="980" ht="15.75" customHeight="1">
      <c r="A980" s="3"/>
      <c r="B980" s="3"/>
    </row>
    <row r="981" ht="15.75" customHeight="1">
      <c r="A981" s="3"/>
      <c r="B981" s="3"/>
    </row>
    <row r="982" ht="15.75" customHeight="1">
      <c r="A982" s="3"/>
      <c r="B982" s="3"/>
    </row>
    <row r="983" ht="15.75" customHeight="1">
      <c r="A983" s="3"/>
      <c r="B983" s="3"/>
    </row>
    <row r="984" ht="15.75" customHeight="1">
      <c r="A984" s="3"/>
      <c r="B984" s="3"/>
    </row>
    <row r="985" ht="15.75" customHeight="1">
      <c r="A985" s="3"/>
      <c r="B985" s="3"/>
    </row>
    <row r="986" ht="15.75" customHeight="1">
      <c r="A986" s="3"/>
      <c r="B986" s="3"/>
    </row>
    <row r="987" ht="15.75" customHeight="1">
      <c r="A987" s="3"/>
      <c r="B987" s="3"/>
    </row>
    <row r="988" ht="15.75" customHeight="1">
      <c r="A988" s="3"/>
      <c r="B988" s="3"/>
    </row>
    <row r="989" ht="15.75" customHeight="1">
      <c r="A989" s="3"/>
      <c r="B989" s="3"/>
    </row>
    <row r="990" ht="15.75" customHeight="1">
      <c r="A990" s="3"/>
      <c r="B990" s="3"/>
    </row>
    <row r="991" ht="15.75" customHeight="1">
      <c r="A991" s="3"/>
      <c r="B991" s="3"/>
    </row>
    <row r="992" ht="15.75" customHeight="1">
      <c r="A992" s="3"/>
      <c r="B992" s="3"/>
    </row>
    <row r="993" ht="15.75" customHeight="1">
      <c r="A993" s="3"/>
      <c r="B993" s="3"/>
    </row>
    <row r="994" ht="15.75" customHeight="1">
      <c r="A994" s="3"/>
      <c r="B994" s="3"/>
    </row>
    <row r="995" ht="15.75" customHeight="1">
      <c r="A995" s="3"/>
      <c r="B995" s="3"/>
    </row>
    <row r="996" ht="15.75" customHeight="1">
      <c r="A996" s="3"/>
      <c r="B996" s="3"/>
    </row>
    <row r="997" ht="15.75" customHeight="1">
      <c r="A997" s="3"/>
      <c r="B997" s="3"/>
    </row>
    <row r="998" ht="15.75" customHeight="1">
      <c r="A998" s="3"/>
      <c r="B998" s="3"/>
    </row>
    <row r="999" ht="15.75" customHeight="1">
      <c r="A999" s="3"/>
      <c r="B999" s="3"/>
    </row>
    <row r="1000" ht="15.75" customHeight="1">
      <c r="A1000" s="3"/>
      <c r="B1000" s="3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29.0"/>
    <col customWidth="1" min="3" max="3" width="12.0"/>
    <col customWidth="1" min="4" max="4" width="20.0"/>
    <col customWidth="1" min="5" max="5" width="25.0"/>
    <col customWidth="1" min="6" max="26" width="8.71"/>
  </cols>
  <sheetData>
    <row r="1" ht="15.0" customHeight="1">
      <c r="A1" s="2" t="s">
        <v>1</v>
      </c>
      <c r="B1" s="2" t="s">
        <v>10</v>
      </c>
      <c r="C1" s="2" t="s">
        <v>12</v>
      </c>
      <c r="D1" s="2" t="s">
        <v>13</v>
      </c>
      <c r="E1" s="2" t="s">
        <v>14</v>
      </c>
    </row>
    <row r="2" ht="15.0" customHeight="1">
      <c r="A2" s="6" t="s">
        <v>16</v>
      </c>
      <c r="B2" s="6" t="s">
        <v>15</v>
      </c>
      <c r="C2" s="6" t="s">
        <v>19</v>
      </c>
      <c r="D2" s="6" t="s">
        <v>21</v>
      </c>
      <c r="E2" s="6"/>
    </row>
    <row r="3" ht="15.0" customHeight="1">
      <c r="A3" s="6" t="s">
        <v>23</v>
      </c>
      <c r="B3" s="6" t="s">
        <v>26</v>
      </c>
      <c r="C3" s="6" t="s">
        <v>19</v>
      </c>
      <c r="D3" s="6" t="s">
        <v>21</v>
      </c>
      <c r="E3" s="6"/>
    </row>
    <row r="4" ht="15.0" customHeight="1">
      <c r="A4" s="6" t="s">
        <v>32</v>
      </c>
      <c r="B4" s="6" t="s">
        <v>34</v>
      </c>
      <c r="C4" s="6" t="s">
        <v>19</v>
      </c>
      <c r="D4" s="6" t="s">
        <v>21</v>
      </c>
      <c r="E4" s="6"/>
    </row>
    <row r="5" ht="15.0" customHeight="1">
      <c r="A5" s="6" t="s">
        <v>40</v>
      </c>
      <c r="B5" s="6" t="s">
        <v>41</v>
      </c>
      <c r="C5" s="6" t="s">
        <v>19</v>
      </c>
      <c r="D5" s="6" t="s">
        <v>21</v>
      </c>
      <c r="E5" s="6"/>
    </row>
    <row r="6" ht="15.0" customHeight="1">
      <c r="A6" s="6" t="s">
        <v>45</v>
      </c>
      <c r="B6" s="6" t="s">
        <v>47</v>
      </c>
      <c r="C6" s="6" t="s">
        <v>19</v>
      </c>
      <c r="D6" s="6" t="s">
        <v>21</v>
      </c>
      <c r="E6" s="6"/>
    </row>
    <row r="7" ht="15.0" customHeight="1">
      <c r="A7" s="6" t="s">
        <v>52</v>
      </c>
      <c r="B7" s="6" t="s">
        <v>55</v>
      </c>
      <c r="C7" s="6" t="s">
        <v>19</v>
      </c>
      <c r="D7" s="6" t="s">
        <v>21</v>
      </c>
      <c r="E7" s="6"/>
    </row>
    <row r="8" ht="15.0" customHeight="1">
      <c r="A8" s="6" t="s">
        <v>61</v>
      </c>
      <c r="B8" s="6" t="s">
        <v>63</v>
      </c>
      <c r="C8" s="6" t="s">
        <v>19</v>
      </c>
      <c r="D8" s="6" t="s">
        <v>21</v>
      </c>
      <c r="E8" s="6"/>
    </row>
    <row r="9" ht="15.0" customHeight="1">
      <c r="A9" s="6" t="s">
        <v>66</v>
      </c>
      <c r="B9" s="6" t="s">
        <v>64</v>
      </c>
      <c r="C9" s="6" t="s">
        <v>19</v>
      </c>
      <c r="D9" s="6" t="s">
        <v>21</v>
      </c>
      <c r="E9" s="6"/>
    </row>
    <row r="10" ht="15.0" customHeight="1">
      <c r="A10" s="6" t="s">
        <v>76</v>
      </c>
      <c r="B10" s="6" t="s">
        <v>75</v>
      </c>
      <c r="C10" s="6" t="s">
        <v>19</v>
      </c>
      <c r="D10" s="6" t="s">
        <v>21</v>
      </c>
      <c r="E10" s="6"/>
    </row>
    <row r="11" ht="15.0" customHeight="1">
      <c r="A11" s="6" t="s">
        <v>83</v>
      </c>
      <c r="B11" s="6" t="s">
        <v>84</v>
      </c>
      <c r="C11" s="6" t="s">
        <v>19</v>
      </c>
      <c r="D11" s="6" t="s">
        <v>21</v>
      </c>
      <c r="E11" s="6"/>
    </row>
    <row r="12" ht="15.0" customHeight="1">
      <c r="A12" s="6" t="s">
        <v>87</v>
      </c>
      <c r="B12" s="6" t="s">
        <v>88</v>
      </c>
      <c r="C12" s="6" t="s">
        <v>19</v>
      </c>
      <c r="D12" s="6" t="s">
        <v>21</v>
      </c>
      <c r="E12" s="6"/>
    </row>
    <row r="13" ht="15.0" customHeight="1">
      <c r="A13" s="6" t="s">
        <v>91</v>
      </c>
      <c r="B13" s="6" t="s">
        <v>93</v>
      </c>
      <c r="C13" s="6" t="s">
        <v>19</v>
      </c>
      <c r="D13" s="6" t="s">
        <v>21</v>
      </c>
      <c r="E13" s="6"/>
    </row>
    <row r="14" ht="15.0" customHeight="1">
      <c r="A14" s="6" t="s">
        <v>97</v>
      </c>
      <c r="B14" s="6" t="s">
        <v>98</v>
      </c>
      <c r="C14" s="6" t="s">
        <v>19</v>
      </c>
      <c r="D14" s="6" t="s">
        <v>21</v>
      </c>
      <c r="E14" s="6"/>
    </row>
    <row r="15" ht="15.0" customHeight="1">
      <c r="A15" s="6" t="s">
        <v>101</v>
      </c>
      <c r="B15" s="6" t="s">
        <v>103</v>
      </c>
      <c r="C15" s="6" t="s">
        <v>19</v>
      </c>
      <c r="D15" s="6" t="s">
        <v>21</v>
      </c>
      <c r="E15" s="6"/>
    </row>
    <row r="16" ht="15.0" customHeight="1">
      <c r="A16" s="6" t="s">
        <v>109</v>
      </c>
      <c r="B16" s="6" t="s">
        <v>110</v>
      </c>
      <c r="C16" s="6" t="s">
        <v>19</v>
      </c>
      <c r="D16" s="6" t="s">
        <v>21</v>
      </c>
      <c r="E16" s="6"/>
    </row>
    <row r="17" ht="15.0" customHeight="1">
      <c r="A17" s="6" t="s">
        <v>113</v>
      </c>
      <c r="B17" s="6" t="s">
        <v>114</v>
      </c>
      <c r="C17" s="6" t="s">
        <v>19</v>
      </c>
      <c r="D17" s="6" t="s">
        <v>21</v>
      </c>
      <c r="E17" s="6"/>
    </row>
    <row r="18" ht="15.0" customHeight="1">
      <c r="A18" s="6" t="s">
        <v>117</v>
      </c>
      <c r="B18" s="6" t="s">
        <v>119</v>
      </c>
      <c r="C18" s="6" t="s">
        <v>19</v>
      </c>
      <c r="D18" s="6" t="s">
        <v>21</v>
      </c>
      <c r="E18" s="6"/>
    </row>
    <row r="19" ht="15.0" customHeight="1">
      <c r="A19" s="6" t="s">
        <v>121</v>
      </c>
      <c r="B19" s="6" t="s">
        <v>123</v>
      </c>
      <c r="C19" s="6" t="s">
        <v>19</v>
      </c>
      <c r="D19" s="6" t="s">
        <v>21</v>
      </c>
      <c r="E19" s="6"/>
    </row>
    <row r="20" ht="15.0" customHeight="1">
      <c r="A20" s="6" t="s">
        <v>124</v>
      </c>
      <c r="B20" s="6" t="s">
        <v>126</v>
      </c>
      <c r="C20" s="6" t="s">
        <v>19</v>
      </c>
      <c r="D20" s="6" t="s">
        <v>21</v>
      </c>
      <c r="E20" s="6"/>
    </row>
    <row r="21" ht="15.0" customHeight="1">
      <c r="A21" s="6" t="s">
        <v>128</v>
      </c>
      <c r="B21" s="6" t="s">
        <v>129</v>
      </c>
      <c r="C21" s="6" t="s">
        <v>19</v>
      </c>
      <c r="D21" s="6" t="s">
        <v>21</v>
      </c>
      <c r="E21" s="6"/>
    </row>
    <row r="22" ht="15.0" customHeight="1">
      <c r="A22" s="6" t="s">
        <v>131</v>
      </c>
      <c r="B22" s="6" t="s">
        <v>132</v>
      </c>
      <c r="C22" s="6" t="s">
        <v>19</v>
      </c>
      <c r="D22" s="6" t="s">
        <v>21</v>
      </c>
      <c r="E22" s="6"/>
    </row>
    <row r="23" ht="15.0" customHeight="1">
      <c r="A23" s="6" t="s">
        <v>134</v>
      </c>
      <c r="B23" s="6" t="s">
        <v>136</v>
      </c>
      <c r="C23" s="6" t="s">
        <v>19</v>
      </c>
      <c r="D23" s="6" t="s">
        <v>21</v>
      </c>
      <c r="E23" s="6"/>
    </row>
    <row r="24" ht="15.0" customHeight="1">
      <c r="A24" s="6" t="s">
        <v>140</v>
      </c>
      <c r="B24" s="6" t="s">
        <v>143</v>
      </c>
      <c r="C24" s="6" t="s">
        <v>19</v>
      </c>
      <c r="D24" s="6" t="s">
        <v>21</v>
      </c>
      <c r="E24" s="6"/>
    </row>
    <row r="25" ht="15.0" customHeight="1">
      <c r="A25" s="6" t="s">
        <v>35</v>
      </c>
      <c r="B25" s="6" t="s">
        <v>31</v>
      </c>
      <c r="C25" s="6" t="s">
        <v>19</v>
      </c>
      <c r="D25" s="6" t="s">
        <v>21</v>
      </c>
      <c r="E25" s="6"/>
    </row>
    <row r="26" ht="15.0" customHeight="1">
      <c r="A26" s="6" t="s">
        <v>150</v>
      </c>
      <c r="B26" s="6" t="s">
        <v>152</v>
      </c>
      <c r="C26" s="6" t="s">
        <v>19</v>
      </c>
      <c r="D26" s="6" t="s">
        <v>21</v>
      </c>
      <c r="E26" s="6"/>
    </row>
    <row r="27" ht="15.0" customHeight="1">
      <c r="A27" s="6" t="s">
        <v>156</v>
      </c>
      <c r="B27" s="6" t="s">
        <v>157</v>
      </c>
      <c r="C27" s="6" t="s">
        <v>19</v>
      </c>
      <c r="D27" s="6" t="s">
        <v>21</v>
      </c>
      <c r="E27" s="6"/>
    </row>
    <row r="28" ht="15.0" customHeight="1">
      <c r="A28" s="6" t="s">
        <v>160</v>
      </c>
      <c r="B28" s="6" t="s">
        <v>162</v>
      </c>
      <c r="C28" s="6" t="s">
        <v>19</v>
      </c>
      <c r="D28" s="6" t="s">
        <v>21</v>
      </c>
      <c r="E28" s="6"/>
    </row>
    <row r="29" ht="15.0" customHeight="1">
      <c r="A29" s="6" t="s">
        <v>169</v>
      </c>
      <c r="B29" s="6" t="s">
        <v>170</v>
      </c>
      <c r="C29" s="6" t="s">
        <v>19</v>
      </c>
      <c r="D29" s="6" t="s">
        <v>21</v>
      </c>
      <c r="E29" s="6"/>
    </row>
    <row r="30" ht="15.0" customHeight="1">
      <c r="A30" s="6" t="s">
        <v>175</v>
      </c>
      <c r="B30" s="6" t="s">
        <v>178</v>
      </c>
      <c r="C30" s="6" t="s">
        <v>19</v>
      </c>
      <c r="D30" s="6" t="s">
        <v>21</v>
      </c>
      <c r="E30" s="6"/>
    </row>
    <row r="31" ht="15.0" customHeight="1">
      <c r="A31" s="6" t="s">
        <v>183</v>
      </c>
      <c r="B31" s="6" t="s">
        <v>185</v>
      </c>
      <c r="C31" s="6" t="s">
        <v>19</v>
      </c>
      <c r="D31" s="6" t="s">
        <v>21</v>
      </c>
      <c r="E31" s="6"/>
    </row>
    <row r="32" ht="15.0" customHeight="1">
      <c r="A32" s="6" t="s">
        <v>161</v>
      </c>
      <c r="B32" s="6" t="s">
        <v>190</v>
      </c>
      <c r="C32" s="6" t="s">
        <v>191</v>
      </c>
      <c r="D32" s="6" t="s">
        <v>21</v>
      </c>
      <c r="E32" s="6" t="s">
        <v>195</v>
      </c>
    </row>
    <row r="33" ht="15.0" customHeight="1">
      <c r="A33" s="6" t="s">
        <v>197</v>
      </c>
      <c r="B33" s="6" t="s">
        <v>198</v>
      </c>
      <c r="C33" s="6" t="s">
        <v>191</v>
      </c>
      <c r="D33" s="6" t="s">
        <v>21</v>
      </c>
      <c r="E33" s="6" t="s">
        <v>204</v>
      </c>
    </row>
    <row r="34" ht="15.0" customHeight="1">
      <c r="A34" s="6" t="s">
        <v>205</v>
      </c>
      <c r="B34" s="6" t="s">
        <v>208</v>
      </c>
      <c r="C34" s="6" t="s">
        <v>191</v>
      </c>
      <c r="D34" s="6" t="s">
        <v>21</v>
      </c>
      <c r="E34" s="6" t="s">
        <v>208</v>
      </c>
    </row>
    <row r="35" ht="15.0" customHeight="1">
      <c r="A35" s="6" t="s">
        <v>95</v>
      </c>
      <c r="B35" s="6" t="s">
        <v>213</v>
      </c>
      <c r="C35" s="6" t="s">
        <v>216</v>
      </c>
      <c r="D35" s="6" t="s">
        <v>21</v>
      </c>
      <c r="E35" s="6" t="s">
        <v>218</v>
      </c>
    </row>
    <row r="36" ht="15.0" customHeight="1">
      <c r="A36" s="6" t="s">
        <v>220</v>
      </c>
      <c r="B36" s="6" t="s">
        <v>222</v>
      </c>
      <c r="C36" s="6" t="s">
        <v>216</v>
      </c>
      <c r="D36" s="6" t="s">
        <v>21</v>
      </c>
      <c r="E36" s="6" t="s">
        <v>225</v>
      </c>
    </row>
    <row r="37" ht="15.0" customHeight="1">
      <c r="A37" s="6" t="s">
        <v>229</v>
      </c>
      <c r="B37" s="6" t="s">
        <v>231</v>
      </c>
      <c r="C37" s="6" t="s">
        <v>216</v>
      </c>
      <c r="D37" s="6" t="s">
        <v>21</v>
      </c>
      <c r="E37" s="6" t="s">
        <v>236</v>
      </c>
    </row>
    <row r="38" ht="15.75" customHeight="1">
      <c r="A38" s="3"/>
      <c r="B38" s="3"/>
      <c r="C38" s="3"/>
      <c r="D38" s="3"/>
      <c r="E38" s="3"/>
    </row>
    <row r="39" ht="15.75" customHeight="1">
      <c r="A39" s="3"/>
      <c r="B39" s="3"/>
      <c r="C39" s="3"/>
      <c r="D39" s="3"/>
      <c r="E39" s="3"/>
    </row>
    <row r="40" ht="15.75" customHeight="1">
      <c r="A40" s="3"/>
      <c r="B40" s="3"/>
      <c r="C40" s="3"/>
      <c r="D40" s="3"/>
      <c r="E40" s="3"/>
    </row>
    <row r="41" ht="15.75" customHeight="1">
      <c r="A41" s="3"/>
      <c r="B41" s="3"/>
      <c r="C41" s="3"/>
      <c r="D41" s="3"/>
      <c r="E41" s="3"/>
    </row>
    <row r="42" ht="15.75" customHeight="1">
      <c r="A42" s="3"/>
      <c r="B42" s="3"/>
      <c r="C42" s="3"/>
      <c r="D42" s="3"/>
      <c r="E42" s="3"/>
    </row>
    <row r="43" ht="15.75" customHeight="1">
      <c r="A43" s="3"/>
      <c r="B43" s="3"/>
      <c r="C43" s="3"/>
      <c r="D43" s="3"/>
      <c r="E43" s="3"/>
    </row>
    <row r="44" ht="15.75" customHeight="1">
      <c r="A44" s="3"/>
      <c r="B44" s="3"/>
      <c r="C44" s="3"/>
      <c r="D44" s="3"/>
      <c r="E44" s="3"/>
    </row>
    <row r="45" ht="15.75" customHeight="1">
      <c r="A45" s="3"/>
      <c r="B45" s="3"/>
      <c r="C45" s="3"/>
      <c r="D45" s="3"/>
      <c r="E45" s="3"/>
    </row>
    <row r="46" ht="15.75" customHeight="1">
      <c r="A46" s="3"/>
      <c r="B46" s="3"/>
      <c r="C46" s="3"/>
      <c r="D46" s="3"/>
      <c r="E46" s="3"/>
    </row>
    <row r="47" ht="15.75" customHeight="1">
      <c r="A47" s="3"/>
      <c r="B47" s="3"/>
      <c r="C47" s="3"/>
      <c r="D47" s="3"/>
      <c r="E47" s="3"/>
    </row>
    <row r="48" ht="15.75" customHeight="1">
      <c r="A48" s="3"/>
      <c r="B48" s="3"/>
      <c r="C48" s="3"/>
      <c r="D48" s="3"/>
      <c r="E48" s="3"/>
    </row>
    <row r="49" ht="15.75" customHeight="1">
      <c r="A49" s="3"/>
      <c r="B49" s="3"/>
      <c r="C49" s="3"/>
      <c r="D49" s="3"/>
      <c r="E49" s="3"/>
    </row>
    <row r="50" ht="15.75" customHeight="1">
      <c r="A50" s="3"/>
      <c r="B50" s="3"/>
      <c r="C50" s="3"/>
      <c r="D50" s="3"/>
      <c r="E50" s="3"/>
    </row>
    <row r="51" ht="15.75" customHeight="1">
      <c r="A51" s="3"/>
      <c r="B51" s="3"/>
      <c r="C51" s="3"/>
      <c r="D51" s="3"/>
      <c r="E51" s="3"/>
    </row>
    <row r="52" ht="15.75" customHeight="1">
      <c r="A52" s="3"/>
      <c r="B52" s="3"/>
      <c r="C52" s="3"/>
      <c r="D52" s="3"/>
      <c r="E52" s="3"/>
    </row>
    <row r="53" ht="15.75" customHeight="1">
      <c r="A53" s="3"/>
      <c r="B53" s="3"/>
      <c r="C53" s="3"/>
      <c r="D53" s="3"/>
      <c r="E53" s="3"/>
    </row>
    <row r="54" ht="15.75" customHeight="1">
      <c r="A54" s="3"/>
      <c r="B54" s="3"/>
      <c r="C54" s="3"/>
      <c r="D54" s="3"/>
      <c r="E54" s="3"/>
    </row>
    <row r="55" ht="15.75" customHeight="1">
      <c r="A55" s="3"/>
      <c r="B55" s="3"/>
      <c r="C55" s="3"/>
      <c r="D55" s="3"/>
      <c r="E55" s="3"/>
    </row>
    <row r="56" ht="15.75" customHeight="1">
      <c r="A56" s="3"/>
      <c r="B56" s="3"/>
      <c r="C56" s="3"/>
      <c r="D56" s="3"/>
      <c r="E56" s="3"/>
    </row>
    <row r="57" ht="15.75" customHeight="1">
      <c r="A57" s="3"/>
      <c r="B57" s="3"/>
      <c r="C57" s="3"/>
      <c r="D57" s="3"/>
      <c r="E57" s="3"/>
    </row>
    <row r="58" ht="15.75" customHeight="1">
      <c r="A58" s="3"/>
      <c r="B58" s="3"/>
      <c r="C58" s="3"/>
      <c r="D58" s="3"/>
      <c r="E58" s="3"/>
    </row>
    <row r="59" ht="15.75" customHeight="1">
      <c r="A59" s="3"/>
      <c r="B59" s="3"/>
      <c r="C59" s="3"/>
      <c r="D59" s="3"/>
      <c r="E59" s="3"/>
    </row>
    <row r="60" ht="15.75" customHeight="1">
      <c r="A60" s="3"/>
      <c r="B60" s="3"/>
      <c r="C60" s="3"/>
      <c r="D60" s="3"/>
      <c r="E60" s="3"/>
    </row>
    <row r="61" ht="15.75" customHeight="1">
      <c r="A61" s="3"/>
      <c r="B61" s="3"/>
      <c r="C61" s="3"/>
      <c r="D61" s="3"/>
      <c r="E61" s="3"/>
    </row>
    <row r="62" ht="15.75" customHeight="1">
      <c r="A62" s="3"/>
      <c r="B62" s="3"/>
      <c r="C62" s="3"/>
      <c r="D62" s="3"/>
      <c r="E62" s="3"/>
    </row>
    <row r="63" ht="15.75" customHeight="1">
      <c r="A63" s="3"/>
      <c r="B63" s="3"/>
      <c r="C63" s="3"/>
      <c r="D63" s="3"/>
      <c r="E63" s="3"/>
    </row>
    <row r="64" ht="15.75" customHeight="1">
      <c r="A64" s="3"/>
      <c r="B64" s="3"/>
      <c r="C64" s="3"/>
      <c r="D64" s="3"/>
      <c r="E64" s="3"/>
    </row>
    <row r="65" ht="15.75" customHeight="1">
      <c r="A65" s="3"/>
      <c r="B65" s="3"/>
      <c r="C65" s="3"/>
      <c r="D65" s="3"/>
      <c r="E65" s="3"/>
    </row>
    <row r="66" ht="15.75" customHeight="1">
      <c r="A66" s="3"/>
      <c r="B66" s="3"/>
      <c r="C66" s="3"/>
      <c r="D66" s="3"/>
      <c r="E66" s="3"/>
    </row>
    <row r="67" ht="15.75" customHeight="1">
      <c r="A67" s="3"/>
      <c r="B67" s="3"/>
      <c r="C67" s="3"/>
      <c r="D67" s="3"/>
      <c r="E67" s="3"/>
    </row>
    <row r="68" ht="15.75" customHeight="1">
      <c r="A68" s="3"/>
      <c r="B68" s="3"/>
      <c r="C68" s="3"/>
      <c r="D68" s="3"/>
      <c r="E68" s="3"/>
    </row>
    <row r="69" ht="15.75" customHeight="1">
      <c r="A69" s="3"/>
      <c r="B69" s="3"/>
      <c r="C69" s="3"/>
      <c r="D69" s="3"/>
      <c r="E69" s="3"/>
    </row>
    <row r="70" ht="15.75" customHeight="1">
      <c r="A70" s="3"/>
      <c r="B70" s="3"/>
      <c r="C70" s="3"/>
      <c r="D70" s="3"/>
      <c r="E70" s="3"/>
    </row>
    <row r="71" ht="15.75" customHeight="1">
      <c r="A71" s="3"/>
      <c r="B71" s="3"/>
      <c r="C71" s="3"/>
      <c r="D71" s="3"/>
      <c r="E71" s="3"/>
    </row>
    <row r="72" ht="15.75" customHeight="1">
      <c r="A72" s="3"/>
      <c r="B72" s="3"/>
      <c r="C72" s="3"/>
      <c r="D72" s="3"/>
      <c r="E72" s="3"/>
    </row>
    <row r="73" ht="15.75" customHeight="1">
      <c r="A73" s="3"/>
      <c r="B73" s="3"/>
      <c r="C73" s="3"/>
      <c r="D73" s="3"/>
      <c r="E73" s="3"/>
    </row>
    <row r="74" ht="15.75" customHeight="1">
      <c r="A74" s="3"/>
      <c r="B74" s="3"/>
      <c r="C74" s="3"/>
      <c r="D74" s="3"/>
      <c r="E74" s="3"/>
    </row>
    <row r="75" ht="15.75" customHeight="1">
      <c r="A75" s="3"/>
      <c r="B75" s="3"/>
      <c r="C75" s="3"/>
      <c r="D75" s="3"/>
      <c r="E75" s="3"/>
    </row>
    <row r="76" ht="15.75" customHeight="1">
      <c r="A76" s="3"/>
      <c r="B76" s="3"/>
      <c r="C76" s="3"/>
      <c r="D76" s="3"/>
      <c r="E76" s="3"/>
    </row>
    <row r="77" ht="15.75" customHeight="1">
      <c r="A77" s="3"/>
      <c r="B77" s="3"/>
      <c r="C77" s="3"/>
      <c r="D77" s="3"/>
      <c r="E77" s="3"/>
    </row>
    <row r="78" ht="15.75" customHeight="1">
      <c r="A78" s="3"/>
      <c r="B78" s="3"/>
      <c r="C78" s="3"/>
      <c r="D78" s="3"/>
      <c r="E78" s="3"/>
    </row>
    <row r="79" ht="15.75" customHeight="1">
      <c r="A79" s="3"/>
      <c r="B79" s="3"/>
      <c r="C79" s="3"/>
      <c r="D79" s="3"/>
      <c r="E79" s="3"/>
    </row>
    <row r="80" ht="15.75" customHeight="1">
      <c r="A80" s="3"/>
      <c r="B80" s="3"/>
      <c r="C80" s="3"/>
      <c r="D80" s="3"/>
      <c r="E80" s="3"/>
    </row>
    <row r="81" ht="15.75" customHeight="1">
      <c r="A81" s="3"/>
      <c r="B81" s="3"/>
      <c r="C81" s="3"/>
      <c r="D81" s="3"/>
      <c r="E81" s="3"/>
    </row>
    <row r="82" ht="15.75" customHeight="1">
      <c r="A82" s="3"/>
      <c r="B82" s="3"/>
      <c r="C82" s="3"/>
      <c r="D82" s="3"/>
      <c r="E82" s="3"/>
    </row>
    <row r="83" ht="15.75" customHeight="1">
      <c r="A83" s="3"/>
      <c r="B83" s="3"/>
      <c r="C83" s="3"/>
      <c r="D83" s="3"/>
      <c r="E83" s="3"/>
    </row>
    <row r="84" ht="15.75" customHeight="1">
      <c r="A84" s="3"/>
      <c r="B84" s="3"/>
      <c r="C84" s="3"/>
      <c r="D84" s="3"/>
      <c r="E84" s="3"/>
    </row>
    <row r="85" ht="15.75" customHeight="1">
      <c r="A85" s="3"/>
      <c r="B85" s="3"/>
      <c r="C85" s="3"/>
      <c r="D85" s="3"/>
      <c r="E85" s="3"/>
    </row>
    <row r="86" ht="15.75" customHeight="1">
      <c r="A86" s="3"/>
      <c r="B86" s="3"/>
      <c r="C86" s="3"/>
      <c r="D86" s="3"/>
      <c r="E86" s="3"/>
    </row>
    <row r="87" ht="15.75" customHeight="1">
      <c r="A87" s="3"/>
      <c r="B87" s="3"/>
      <c r="C87" s="3"/>
      <c r="D87" s="3"/>
      <c r="E87" s="3"/>
    </row>
    <row r="88" ht="15.75" customHeight="1">
      <c r="A88" s="3"/>
      <c r="B88" s="3"/>
      <c r="C88" s="3"/>
      <c r="D88" s="3"/>
      <c r="E88" s="3"/>
    </row>
    <row r="89" ht="15.75" customHeight="1">
      <c r="A89" s="3"/>
      <c r="B89" s="3"/>
      <c r="C89" s="3"/>
      <c r="D89" s="3"/>
      <c r="E89" s="3"/>
    </row>
    <row r="90" ht="15.75" customHeight="1">
      <c r="A90" s="3"/>
      <c r="B90" s="3"/>
      <c r="C90" s="3"/>
      <c r="D90" s="3"/>
      <c r="E90" s="3"/>
    </row>
    <row r="91" ht="15.75" customHeight="1">
      <c r="A91" s="3"/>
      <c r="B91" s="3"/>
      <c r="C91" s="3"/>
      <c r="D91" s="3"/>
      <c r="E91" s="3"/>
    </row>
    <row r="92" ht="15.75" customHeight="1">
      <c r="A92" s="3"/>
      <c r="B92" s="3"/>
      <c r="C92" s="3"/>
      <c r="D92" s="3"/>
      <c r="E92" s="3"/>
    </row>
    <row r="93" ht="15.75" customHeight="1">
      <c r="A93" s="3"/>
      <c r="B93" s="3"/>
      <c r="C93" s="3"/>
      <c r="D93" s="3"/>
      <c r="E93" s="3"/>
    </row>
    <row r="94" ht="15.75" customHeight="1">
      <c r="A94" s="3"/>
      <c r="B94" s="3"/>
      <c r="C94" s="3"/>
      <c r="D94" s="3"/>
      <c r="E94" s="3"/>
    </row>
    <row r="95" ht="15.75" customHeight="1">
      <c r="A95" s="3"/>
      <c r="B95" s="3"/>
      <c r="C95" s="3"/>
      <c r="D95" s="3"/>
      <c r="E95" s="3"/>
    </row>
    <row r="96" ht="15.75" customHeight="1">
      <c r="A96" s="3"/>
      <c r="B96" s="3"/>
      <c r="C96" s="3"/>
      <c r="D96" s="3"/>
      <c r="E96" s="3"/>
    </row>
    <row r="97" ht="15.75" customHeight="1">
      <c r="A97" s="3"/>
      <c r="B97" s="3"/>
      <c r="C97" s="3"/>
      <c r="D97" s="3"/>
      <c r="E97" s="3"/>
    </row>
    <row r="98" ht="15.75" customHeight="1">
      <c r="A98" s="3"/>
      <c r="B98" s="3"/>
      <c r="C98" s="3"/>
      <c r="D98" s="3"/>
      <c r="E98" s="3"/>
    </row>
    <row r="99" ht="15.75" customHeight="1">
      <c r="A99" s="3"/>
      <c r="B99" s="3"/>
      <c r="C99" s="3"/>
      <c r="D99" s="3"/>
      <c r="E99" s="3"/>
    </row>
    <row r="100" ht="15.75" customHeight="1">
      <c r="A100" s="3"/>
      <c r="B100" s="3"/>
      <c r="C100" s="3"/>
      <c r="D100" s="3"/>
      <c r="E100" s="3"/>
    </row>
    <row r="101" ht="15.75" customHeight="1">
      <c r="A101" s="3"/>
      <c r="B101" s="3"/>
      <c r="C101" s="3"/>
      <c r="D101" s="3"/>
      <c r="E101" s="3"/>
    </row>
    <row r="102" ht="15.75" customHeight="1">
      <c r="A102" s="3"/>
      <c r="B102" s="3"/>
      <c r="C102" s="3"/>
      <c r="D102" s="3"/>
      <c r="E102" s="3"/>
    </row>
    <row r="103" ht="15.75" customHeight="1">
      <c r="A103" s="3"/>
      <c r="B103" s="3"/>
      <c r="C103" s="3"/>
      <c r="D103" s="3"/>
      <c r="E103" s="3"/>
    </row>
    <row r="104" ht="15.75" customHeight="1">
      <c r="A104" s="3"/>
      <c r="B104" s="3"/>
      <c r="C104" s="3"/>
      <c r="D104" s="3"/>
      <c r="E104" s="3"/>
    </row>
    <row r="105" ht="15.75" customHeight="1">
      <c r="A105" s="3"/>
      <c r="B105" s="3"/>
      <c r="C105" s="3"/>
      <c r="D105" s="3"/>
      <c r="E105" s="3"/>
    </row>
    <row r="106" ht="15.75" customHeight="1">
      <c r="A106" s="3"/>
      <c r="B106" s="3"/>
      <c r="C106" s="3"/>
      <c r="D106" s="3"/>
      <c r="E106" s="3"/>
    </row>
    <row r="107" ht="15.75" customHeight="1">
      <c r="A107" s="3"/>
      <c r="B107" s="3"/>
      <c r="C107" s="3"/>
      <c r="D107" s="3"/>
      <c r="E107" s="3"/>
    </row>
    <row r="108" ht="15.75" customHeight="1">
      <c r="A108" s="3"/>
      <c r="B108" s="3"/>
      <c r="C108" s="3"/>
      <c r="D108" s="3"/>
      <c r="E108" s="3"/>
    </row>
    <row r="109" ht="15.75" customHeight="1">
      <c r="A109" s="3"/>
      <c r="B109" s="3"/>
      <c r="C109" s="3"/>
      <c r="D109" s="3"/>
      <c r="E109" s="3"/>
    </row>
    <row r="110" ht="15.75" customHeight="1">
      <c r="A110" s="3"/>
      <c r="B110" s="3"/>
      <c r="C110" s="3"/>
      <c r="D110" s="3"/>
      <c r="E110" s="3"/>
    </row>
    <row r="111" ht="15.75" customHeight="1">
      <c r="A111" s="3"/>
      <c r="B111" s="3"/>
      <c r="C111" s="3"/>
      <c r="D111" s="3"/>
      <c r="E111" s="3"/>
    </row>
    <row r="112" ht="15.75" customHeight="1">
      <c r="A112" s="3"/>
      <c r="B112" s="3"/>
      <c r="C112" s="3"/>
      <c r="D112" s="3"/>
      <c r="E112" s="3"/>
    </row>
    <row r="113" ht="15.75" customHeight="1">
      <c r="A113" s="3"/>
      <c r="B113" s="3"/>
      <c r="C113" s="3"/>
      <c r="D113" s="3"/>
      <c r="E113" s="3"/>
    </row>
    <row r="114" ht="15.75" customHeight="1">
      <c r="A114" s="3"/>
      <c r="B114" s="3"/>
      <c r="C114" s="3"/>
      <c r="D114" s="3"/>
      <c r="E114" s="3"/>
    </row>
    <row r="115" ht="15.75" customHeight="1">
      <c r="A115" s="3"/>
      <c r="B115" s="3"/>
      <c r="C115" s="3"/>
      <c r="D115" s="3"/>
      <c r="E115" s="3"/>
    </row>
    <row r="116" ht="15.75" customHeight="1">
      <c r="A116" s="3"/>
      <c r="B116" s="3"/>
      <c r="C116" s="3"/>
      <c r="D116" s="3"/>
      <c r="E116" s="3"/>
    </row>
    <row r="117" ht="15.75" customHeight="1">
      <c r="A117" s="3"/>
      <c r="B117" s="3"/>
      <c r="C117" s="3"/>
      <c r="D117" s="3"/>
      <c r="E117" s="3"/>
    </row>
    <row r="118" ht="15.75" customHeight="1">
      <c r="A118" s="3"/>
      <c r="B118" s="3"/>
      <c r="C118" s="3"/>
      <c r="D118" s="3"/>
      <c r="E118" s="3"/>
    </row>
    <row r="119" ht="15.75" customHeight="1">
      <c r="A119" s="3"/>
      <c r="B119" s="3"/>
      <c r="C119" s="3"/>
      <c r="D119" s="3"/>
      <c r="E119" s="3"/>
    </row>
    <row r="120" ht="15.75" customHeight="1">
      <c r="A120" s="3"/>
      <c r="B120" s="3"/>
      <c r="C120" s="3"/>
      <c r="D120" s="3"/>
      <c r="E120" s="3"/>
    </row>
    <row r="121" ht="15.75" customHeight="1">
      <c r="A121" s="3"/>
      <c r="B121" s="3"/>
      <c r="C121" s="3"/>
      <c r="D121" s="3"/>
      <c r="E121" s="3"/>
    </row>
    <row r="122" ht="15.75" customHeight="1">
      <c r="A122" s="3"/>
      <c r="B122" s="3"/>
      <c r="C122" s="3"/>
      <c r="D122" s="3"/>
      <c r="E122" s="3"/>
    </row>
    <row r="123" ht="15.75" customHeight="1">
      <c r="A123" s="3"/>
      <c r="B123" s="3"/>
      <c r="C123" s="3"/>
      <c r="D123" s="3"/>
      <c r="E123" s="3"/>
    </row>
    <row r="124" ht="15.75" customHeight="1">
      <c r="A124" s="3"/>
      <c r="B124" s="3"/>
      <c r="C124" s="3"/>
      <c r="D124" s="3"/>
      <c r="E124" s="3"/>
    </row>
    <row r="125" ht="15.75" customHeight="1">
      <c r="A125" s="3"/>
      <c r="B125" s="3"/>
      <c r="C125" s="3"/>
      <c r="D125" s="3"/>
      <c r="E125" s="3"/>
    </row>
    <row r="126" ht="15.75" customHeight="1">
      <c r="A126" s="3"/>
      <c r="B126" s="3"/>
      <c r="C126" s="3"/>
      <c r="D126" s="3"/>
      <c r="E126" s="3"/>
    </row>
    <row r="127" ht="15.75" customHeight="1">
      <c r="A127" s="3"/>
      <c r="B127" s="3"/>
      <c r="C127" s="3"/>
      <c r="D127" s="3"/>
      <c r="E127" s="3"/>
    </row>
    <row r="128" ht="15.75" customHeight="1">
      <c r="A128" s="3"/>
      <c r="B128" s="3"/>
      <c r="C128" s="3"/>
      <c r="D128" s="3"/>
      <c r="E128" s="3"/>
    </row>
    <row r="129" ht="15.75" customHeight="1">
      <c r="A129" s="3"/>
      <c r="B129" s="3"/>
      <c r="C129" s="3"/>
      <c r="D129" s="3"/>
      <c r="E129" s="3"/>
    </row>
    <row r="130" ht="15.75" customHeight="1">
      <c r="A130" s="3"/>
      <c r="B130" s="3"/>
      <c r="C130" s="3"/>
      <c r="D130" s="3"/>
      <c r="E130" s="3"/>
    </row>
    <row r="131" ht="15.75" customHeight="1">
      <c r="A131" s="3"/>
      <c r="B131" s="3"/>
      <c r="C131" s="3"/>
      <c r="D131" s="3"/>
      <c r="E131" s="3"/>
    </row>
    <row r="132" ht="15.75" customHeight="1">
      <c r="A132" s="3"/>
      <c r="B132" s="3"/>
      <c r="C132" s="3"/>
      <c r="D132" s="3"/>
      <c r="E132" s="3"/>
    </row>
    <row r="133" ht="15.75" customHeight="1">
      <c r="A133" s="3"/>
      <c r="B133" s="3"/>
      <c r="C133" s="3"/>
      <c r="D133" s="3"/>
      <c r="E133" s="3"/>
    </row>
    <row r="134" ht="15.75" customHeight="1">
      <c r="A134" s="3"/>
      <c r="B134" s="3"/>
      <c r="C134" s="3"/>
      <c r="D134" s="3"/>
      <c r="E134" s="3"/>
    </row>
    <row r="135" ht="15.75" customHeight="1">
      <c r="A135" s="3"/>
      <c r="B135" s="3"/>
      <c r="C135" s="3"/>
      <c r="D135" s="3"/>
      <c r="E135" s="3"/>
    </row>
    <row r="136" ht="15.75" customHeight="1">
      <c r="A136" s="3"/>
      <c r="B136" s="3"/>
      <c r="C136" s="3"/>
      <c r="D136" s="3"/>
      <c r="E136" s="3"/>
    </row>
    <row r="137" ht="15.75" customHeight="1">
      <c r="A137" s="3"/>
      <c r="B137" s="3"/>
      <c r="C137" s="3"/>
      <c r="D137" s="3"/>
      <c r="E137" s="3"/>
    </row>
    <row r="138" ht="15.75" customHeight="1">
      <c r="A138" s="3"/>
      <c r="B138" s="3"/>
      <c r="C138" s="3"/>
      <c r="D138" s="3"/>
      <c r="E138" s="3"/>
    </row>
    <row r="139" ht="15.75" customHeight="1">
      <c r="A139" s="3"/>
      <c r="B139" s="3"/>
      <c r="C139" s="3"/>
      <c r="D139" s="3"/>
      <c r="E139" s="3"/>
    </row>
    <row r="140" ht="15.75" customHeight="1">
      <c r="A140" s="3"/>
      <c r="B140" s="3"/>
      <c r="C140" s="3"/>
      <c r="D140" s="3"/>
      <c r="E140" s="3"/>
    </row>
    <row r="141" ht="15.75" customHeight="1">
      <c r="A141" s="3"/>
      <c r="B141" s="3"/>
      <c r="C141" s="3"/>
      <c r="D141" s="3"/>
      <c r="E141" s="3"/>
    </row>
    <row r="142" ht="15.75" customHeight="1">
      <c r="A142" s="3"/>
      <c r="B142" s="3"/>
      <c r="C142" s="3"/>
      <c r="D142" s="3"/>
      <c r="E142" s="3"/>
    </row>
    <row r="143" ht="15.75" customHeight="1">
      <c r="A143" s="3"/>
      <c r="B143" s="3"/>
      <c r="C143" s="3"/>
      <c r="D143" s="3"/>
      <c r="E143" s="3"/>
    </row>
    <row r="144" ht="15.75" customHeight="1">
      <c r="A144" s="3"/>
      <c r="B144" s="3"/>
      <c r="C144" s="3"/>
      <c r="D144" s="3"/>
      <c r="E144" s="3"/>
    </row>
    <row r="145" ht="15.75" customHeight="1">
      <c r="A145" s="3"/>
      <c r="B145" s="3"/>
      <c r="C145" s="3"/>
      <c r="D145" s="3"/>
      <c r="E145" s="3"/>
    </row>
    <row r="146" ht="15.75" customHeight="1">
      <c r="A146" s="3"/>
      <c r="B146" s="3"/>
      <c r="C146" s="3"/>
      <c r="D146" s="3"/>
      <c r="E146" s="3"/>
    </row>
    <row r="147" ht="15.75" customHeight="1">
      <c r="A147" s="3"/>
      <c r="B147" s="3"/>
      <c r="C147" s="3"/>
      <c r="D147" s="3"/>
      <c r="E147" s="3"/>
    </row>
    <row r="148" ht="15.75" customHeight="1">
      <c r="A148" s="3"/>
      <c r="B148" s="3"/>
      <c r="C148" s="3"/>
      <c r="D148" s="3"/>
      <c r="E148" s="3"/>
    </row>
    <row r="149" ht="15.75" customHeight="1">
      <c r="A149" s="3"/>
      <c r="B149" s="3"/>
      <c r="C149" s="3"/>
      <c r="D149" s="3"/>
      <c r="E149" s="3"/>
    </row>
    <row r="150" ht="15.75" customHeight="1">
      <c r="A150" s="3"/>
      <c r="B150" s="3"/>
      <c r="C150" s="3"/>
      <c r="D150" s="3"/>
      <c r="E150" s="3"/>
    </row>
    <row r="151" ht="15.75" customHeight="1">
      <c r="A151" s="3"/>
      <c r="B151" s="3"/>
      <c r="C151" s="3"/>
      <c r="D151" s="3"/>
      <c r="E151" s="3"/>
    </row>
    <row r="152" ht="15.75" customHeight="1">
      <c r="A152" s="3"/>
      <c r="B152" s="3"/>
      <c r="C152" s="3"/>
      <c r="D152" s="3"/>
      <c r="E152" s="3"/>
    </row>
    <row r="153" ht="15.75" customHeight="1">
      <c r="A153" s="3"/>
      <c r="B153" s="3"/>
      <c r="C153" s="3"/>
      <c r="D153" s="3"/>
      <c r="E153" s="3"/>
    </row>
    <row r="154" ht="15.75" customHeight="1">
      <c r="A154" s="3"/>
      <c r="B154" s="3"/>
      <c r="C154" s="3"/>
      <c r="D154" s="3"/>
      <c r="E154" s="3"/>
    </row>
    <row r="155" ht="15.75" customHeight="1">
      <c r="A155" s="3"/>
      <c r="B155" s="3"/>
      <c r="C155" s="3"/>
      <c r="D155" s="3"/>
      <c r="E155" s="3"/>
    </row>
    <row r="156" ht="15.75" customHeight="1">
      <c r="A156" s="3"/>
      <c r="B156" s="3"/>
      <c r="C156" s="3"/>
      <c r="D156" s="3"/>
      <c r="E156" s="3"/>
    </row>
    <row r="157" ht="15.75" customHeight="1">
      <c r="A157" s="3"/>
      <c r="B157" s="3"/>
      <c r="C157" s="3"/>
      <c r="D157" s="3"/>
      <c r="E157" s="3"/>
    </row>
    <row r="158" ht="15.75" customHeight="1">
      <c r="A158" s="3"/>
      <c r="B158" s="3"/>
      <c r="C158" s="3"/>
      <c r="D158" s="3"/>
      <c r="E158" s="3"/>
    </row>
    <row r="159" ht="15.75" customHeight="1">
      <c r="A159" s="3"/>
      <c r="B159" s="3"/>
      <c r="C159" s="3"/>
      <c r="D159" s="3"/>
      <c r="E159" s="3"/>
    </row>
    <row r="160" ht="15.75" customHeight="1">
      <c r="A160" s="3"/>
      <c r="B160" s="3"/>
      <c r="C160" s="3"/>
      <c r="D160" s="3"/>
      <c r="E160" s="3"/>
    </row>
    <row r="161" ht="15.75" customHeight="1">
      <c r="A161" s="3"/>
      <c r="B161" s="3"/>
      <c r="C161" s="3"/>
      <c r="D161" s="3"/>
      <c r="E161" s="3"/>
    </row>
    <row r="162" ht="15.75" customHeight="1">
      <c r="A162" s="3"/>
      <c r="B162" s="3"/>
      <c r="C162" s="3"/>
      <c r="D162" s="3"/>
      <c r="E162" s="3"/>
    </row>
    <row r="163" ht="15.75" customHeight="1">
      <c r="A163" s="3"/>
      <c r="B163" s="3"/>
      <c r="C163" s="3"/>
      <c r="D163" s="3"/>
      <c r="E163" s="3"/>
    </row>
    <row r="164" ht="15.75" customHeight="1">
      <c r="A164" s="3"/>
      <c r="B164" s="3"/>
      <c r="C164" s="3"/>
      <c r="D164" s="3"/>
      <c r="E164" s="3"/>
    </row>
    <row r="165" ht="15.75" customHeight="1">
      <c r="A165" s="3"/>
      <c r="B165" s="3"/>
      <c r="C165" s="3"/>
      <c r="D165" s="3"/>
      <c r="E165" s="3"/>
    </row>
    <row r="166" ht="15.75" customHeight="1">
      <c r="A166" s="3"/>
      <c r="B166" s="3"/>
      <c r="C166" s="3"/>
      <c r="D166" s="3"/>
      <c r="E166" s="3"/>
    </row>
    <row r="167" ht="15.75" customHeight="1">
      <c r="A167" s="3"/>
      <c r="B167" s="3"/>
      <c r="C167" s="3"/>
      <c r="D167" s="3"/>
      <c r="E167" s="3"/>
    </row>
    <row r="168" ht="15.75" customHeight="1">
      <c r="A168" s="3"/>
      <c r="B168" s="3"/>
      <c r="C168" s="3"/>
      <c r="D168" s="3"/>
      <c r="E168" s="3"/>
    </row>
    <row r="169" ht="15.75" customHeight="1">
      <c r="A169" s="3"/>
      <c r="B169" s="3"/>
      <c r="C169" s="3"/>
      <c r="D169" s="3"/>
      <c r="E169" s="3"/>
    </row>
    <row r="170" ht="15.75" customHeight="1">
      <c r="A170" s="3"/>
      <c r="B170" s="3"/>
      <c r="C170" s="3"/>
      <c r="D170" s="3"/>
      <c r="E170" s="3"/>
    </row>
    <row r="171" ht="15.75" customHeight="1">
      <c r="A171" s="3"/>
      <c r="B171" s="3"/>
      <c r="C171" s="3"/>
      <c r="D171" s="3"/>
      <c r="E171" s="3"/>
    </row>
    <row r="172" ht="15.75" customHeight="1">
      <c r="A172" s="3"/>
      <c r="B172" s="3"/>
      <c r="C172" s="3"/>
      <c r="D172" s="3"/>
      <c r="E172" s="3"/>
    </row>
    <row r="173" ht="15.75" customHeight="1">
      <c r="A173" s="3"/>
      <c r="B173" s="3"/>
      <c r="C173" s="3"/>
      <c r="D173" s="3"/>
      <c r="E173" s="3"/>
    </row>
    <row r="174" ht="15.75" customHeight="1">
      <c r="A174" s="3"/>
      <c r="B174" s="3"/>
      <c r="C174" s="3"/>
      <c r="D174" s="3"/>
      <c r="E174" s="3"/>
    </row>
    <row r="175" ht="15.75" customHeight="1">
      <c r="A175" s="3"/>
      <c r="B175" s="3"/>
      <c r="C175" s="3"/>
      <c r="D175" s="3"/>
      <c r="E175" s="3"/>
    </row>
    <row r="176" ht="15.75" customHeight="1">
      <c r="A176" s="3"/>
      <c r="B176" s="3"/>
      <c r="C176" s="3"/>
      <c r="D176" s="3"/>
      <c r="E176" s="3"/>
    </row>
    <row r="177" ht="15.75" customHeight="1">
      <c r="A177" s="3"/>
      <c r="B177" s="3"/>
      <c r="C177" s="3"/>
      <c r="D177" s="3"/>
      <c r="E177" s="3"/>
    </row>
    <row r="178" ht="15.75" customHeight="1">
      <c r="A178" s="3"/>
      <c r="B178" s="3"/>
      <c r="C178" s="3"/>
      <c r="D178" s="3"/>
      <c r="E178" s="3"/>
    </row>
    <row r="179" ht="15.75" customHeight="1">
      <c r="A179" s="3"/>
      <c r="B179" s="3"/>
      <c r="C179" s="3"/>
      <c r="D179" s="3"/>
      <c r="E179" s="3"/>
    </row>
    <row r="180" ht="15.75" customHeight="1">
      <c r="A180" s="3"/>
      <c r="B180" s="3"/>
      <c r="C180" s="3"/>
      <c r="D180" s="3"/>
      <c r="E180" s="3"/>
    </row>
    <row r="181" ht="15.75" customHeight="1">
      <c r="A181" s="3"/>
      <c r="B181" s="3"/>
      <c r="C181" s="3"/>
      <c r="D181" s="3"/>
      <c r="E181" s="3"/>
    </row>
    <row r="182" ht="15.75" customHeight="1">
      <c r="A182" s="3"/>
      <c r="B182" s="3"/>
      <c r="C182" s="3"/>
      <c r="D182" s="3"/>
      <c r="E182" s="3"/>
    </row>
    <row r="183" ht="15.75" customHeight="1">
      <c r="A183" s="3"/>
      <c r="B183" s="3"/>
      <c r="C183" s="3"/>
      <c r="D183" s="3"/>
      <c r="E183" s="3"/>
    </row>
    <row r="184" ht="15.75" customHeight="1">
      <c r="A184" s="3"/>
      <c r="B184" s="3"/>
      <c r="C184" s="3"/>
      <c r="D184" s="3"/>
      <c r="E184" s="3"/>
    </row>
    <row r="185" ht="15.75" customHeight="1">
      <c r="A185" s="3"/>
      <c r="B185" s="3"/>
      <c r="C185" s="3"/>
      <c r="D185" s="3"/>
      <c r="E185" s="3"/>
    </row>
    <row r="186" ht="15.75" customHeight="1">
      <c r="A186" s="3"/>
      <c r="B186" s="3"/>
      <c r="C186" s="3"/>
      <c r="D186" s="3"/>
      <c r="E186" s="3"/>
    </row>
    <row r="187" ht="15.75" customHeight="1">
      <c r="A187" s="3"/>
      <c r="B187" s="3"/>
      <c r="C187" s="3"/>
      <c r="D187" s="3"/>
      <c r="E187" s="3"/>
    </row>
    <row r="188" ht="15.75" customHeight="1">
      <c r="A188" s="3"/>
      <c r="B188" s="3"/>
      <c r="C188" s="3"/>
      <c r="D188" s="3"/>
      <c r="E188" s="3"/>
    </row>
    <row r="189" ht="15.75" customHeight="1">
      <c r="A189" s="3"/>
      <c r="B189" s="3"/>
      <c r="C189" s="3"/>
      <c r="D189" s="3"/>
      <c r="E189" s="3"/>
    </row>
    <row r="190" ht="15.75" customHeight="1">
      <c r="A190" s="3"/>
      <c r="B190" s="3"/>
      <c r="C190" s="3"/>
      <c r="D190" s="3"/>
      <c r="E190" s="3"/>
    </row>
    <row r="191" ht="15.75" customHeight="1">
      <c r="A191" s="3"/>
      <c r="B191" s="3"/>
      <c r="C191" s="3"/>
      <c r="D191" s="3"/>
      <c r="E191" s="3"/>
    </row>
    <row r="192" ht="15.75" customHeight="1">
      <c r="A192" s="3"/>
      <c r="B192" s="3"/>
      <c r="C192" s="3"/>
      <c r="D192" s="3"/>
      <c r="E192" s="3"/>
    </row>
    <row r="193" ht="15.75" customHeight="1">
      <c r="A193" s="3"/>
      <c r="B193" s="3"/>
      <c r="C193" s="3"/>
      <c r="D193" s="3"/>
      <c r="E193" s="3"/>
    </row>
    <row r="194" ht="15.75" customHeight="1">
      <c r="A194" s="3"/>
      <c r="B194" s="3"/>
      <c r="C194" s="3"/>
      <c r="D194" s="3"/>
      <c r="E194" s="3"/>
    </row>
    <row r="195" ht="15.75" customHeight="1">
      <c r="A195" s="3"/>
      <c r="B195" s="3"/>
      <c r="C195" s="3"/>
      <c r="D195" s="3"/>
      <c r="E195" s="3"/>
    </row>
    <row r="196" ht="15.75" customHeight="1">
      <c r="A196" s="3"/>
      <c r="B196" s="3"/>
      <c r="C196" s="3"/>
      <c r="D196" s="3"/>
      <c r="E196" s="3"/>
    </row>
    <row r="197" ht="15.75" customHeight="1">
      <c r="A197" s="3"/>
      <c r="B197" s="3"/>
      <c r="C197" s="3"/>
      <c r="D197" s="3"/>
      <c r="E197" s="3"/>
    </row>
    <row r="198" ht="15.75" customHeight="1">
      <c r="A198" s="3"/>
      <c r="B198" s="3"/>
      <c r="C198" s="3"/>
      <c r="D198" s="3"/>
      <c r="E198" s="3"/>
    </row>
    <row r="199" ht="15.75" customHeight="1">
      <c r="A199" s="3"/>
      <c r="B199" s="3"/>
      <c r="C199" s="3"/>
      <c r="D199" s="3"/>
      <c r="E199" s="3"/>
    </row>
    <row r="200" ht="15.75" customHeight="1">
      <c r="A200" s="3"/>
      <c r="B200" s="3"/>
      <c r="C200" s="3"/>
      <c r="D200" s="3"/>
      <c r="E200" s="3"/>
    </row>
    <row r="201" ht="15.75" customHeight="1">
      <c r="A201" s="3"/>
      <c r="B201" s="3"/>
      <c r="C201" s="3"/>
      <c r="D201" s="3"/>
      <c r="E201" s="3"/>
    </row>
    <row r="202" ht="15.75" customHeight="1">
      <c r="A202" s="3"/>
      <c r="B202" s="3"/>
      <c r="C202" s="3"/>
      <c r="D202" s="3"/>
      <c r="E202" s="3"/>
    </row>
    <row r="203" ht="15.75" customHeight="1">
      <c r="A203" s="3"/>
      <c r="B203" s="3"/>
      <c r="C203" s="3"/>
      <c r="D203" s="3"/>
      <c r="E203" s="3"/>
    </row>
    <row r="204" ht="15.75" customHeight="1">
      <c r="A204" s="3"/>
      <c r="B204" s="3"/>
      <c r="C204" s="3"/>
      <c r="D204" s="3"/>
      <c r="E204" s="3"/>
    </row>
    <row r="205" ht="15.75" customHeight="1">
      <c r="A205" s="3"/>
      <c r="B205" s="3"/>
      <c r="C205" s="3"/>
      <c r="D205" s="3"/>
      <c r="E205" s="3"/>
    </row>
    <row r="206" ht="15.75" customHeight="1">
      <c r="A206" s="3"/>
      <c r="B206" s="3"/>
      <c r="C206" s="3"/>
      <c r="D206" s="3"/>
      <c r="E206" s="3"/>
    </row>
    <row r="207" ht="15.75" customHeight="1">
      <c r="A207" s="3"/>
      <c r="B207" s="3"/>
      <c r="C207" s="3"/>
      <c r="D207" s="3"/>
      <c r="E207" s="3"/>
    </row>
    <row r="208" ht="15.75" customHeight="1">
      <c r="A208" s="3"/>
      <c r="B208" s="3"/>
      <c r="C208" s="3"/>
      <c r="D208" s="3"/>
      <c r="E208" s="3"/>
    </row>
    <row r="209" ht="15.75" customHeight="1">
      <c r="A209" s="3"/>
      <c r="B209" s="3"/>
      <c r="C209" s="3"/>
      <c r="D209" s="3"/>
      <c r="E209" s="3"/>
    </row>
    <row r="210" ht="15.75" customHeight="1">
      <c r="A210" s="3"/>
      <c r="B210" s="3"/>
      <c r="C210" s="3"/>
      <c r="D210" s="3"/>
      <c r="E210" s="3"/>
    </row>
    <row r="211" ht="15.75" customHeight="1">
      <c r="A211" s="3"/>
      <c r="B211" s="3"/>
      <c r="C211" s="3"/>
      <c r="D211" s="3"/>
      <c r="E211" s="3"/>
    </row>
    <row r="212" ht="15.75" customHeight="1">
      <c r="A212" s="3"/>
      <c r="B212" s="3"/>
      <c r="C212" s="3"/>
      <c r="D212" s="3"/>
      <c r="E212" s="3"/>
    </row>
    <row r="213" ht="15.75" customHeight="1">
      <c r="A213" s="3"/>
      <c r="B213" s="3"/>
      <c r="C213" s="3"/>
      <c r="D213" s="3"/>
      <c r="E213" s="3"/>
    </row>
    <row r="214" ht="15.75" customHeight="1">
      <c r="A214" s="3"/>
      <c r="B214" s="3"/>
      <c r="C214" s="3"/>
      <c r="D214" s="3"/>
      <c r="E214" s="3"/>
    </row>
    <row r="215" ht="15.75" customHeight="1">
      <c r="A215" s="3"/>
      <c r="B215" s="3"/>
      <c r="C215" s="3"/>
      <c r="D215" s="3"/>
      <c r="E215" s="3"/>
    </row>
    <row r="216" ht="15.75" customHeight="1">
      <c r="A216" s="3"/>
      <c r="B216" s="3"/>
      <c r="C216" s="3"/>
      <c r="D216" s="3"/>
      <c r="E216" s="3"/>
    </row>
    <row r="217" ht="15.75" customHeight="1">
      <c r="A217" s="3"/>
      <c r="B217" s="3"/>
      <c r="C217" s="3"/>
      <c r="D217" s="3"/>
      <c r="E217" s="3"/>
    </row>
    <row r="218" ht="15.75" customHeight="1">
      <c r="A218" s="3"/>
      <c r="B218" s="3"/>
      <c r="C218" s="3"/>
      <c r="D218" s="3"/>
      <c r="E218" s="3"/>
    </row>
    <row r="219" ht="15.75" customHeight="1">
      <c r="A219" s="3"/>
      <c r="B219" s="3"/>
      <c r="C219" s="3"/>
      <c r="D219" s="3"/>
      <c r="E219" s="3"/>
    </row>
    <row r="220" ht="15.75" customHeight="1">
      <c r="A220" s="3"/>
      <c r="B220" s="3"/>
      <c r="C220" s="3"/>
      <c r="D220" s="3"/>
      <c r="E220" s="3"/>
    </row>
    <row r="221" ht="15.75" customHeight="1">
      <c r="A221" s="3"/>
      <c r="B221" s="3"/>
      <c r="C221" s="3"/>
      <c r="D221" s="3"/>
      <c r="E221" s="3"/>
    </row>
    <row r="222" ht="15.75" customHeight="1">
      <c r="A222" s="3"/>
      <c r="B222" s="3"/>
      <c r="C222" s="3"/>
      <c r="D222" s="3"/>
      <c r="E222" s="3"/>
    </row>
    <row r="223" ht="15.75" customHeight="1">
      <c r="A223" s="3"/>
      <c r="B223" s="3"/>
      <c r="C223" s="3"/>
      <c r="D223" s="3"/>
      <c r="E223" s="3"/>
    </row>
    <row r="224" ht="15.75" customHeight="1">
      <c r="A224" s="3"/>
      <c r="B224" s="3"/>
      <c r="C224" s="3"/>
      <c r="D224" s="3"/>
      <c r="E224" s="3"/>
    </row>
    <row r="225" ht="15.75" customHeight="1">
      <c r="A225" s="3"/>
      <c r="B225" s="3"/>
      <c r="C225" s="3"/>
      <c r="D225" s="3"/>
      <c r="E225" s="3"/>
    </row>
    <row r="226" ht="15.75" customHeight="1">
      <c r="A226" s="3"/>
      <c r="B226" s="3"/>
      <c r="C226" s="3"/>
      <c r="D226" s="3"/>
      <c r="E226" s="3"/>
    </row>
    <row r="227" ht="15.75" customHeight="1">
      <c r="A227" s="3"/>
      <c r="B227" s="3"/>
      <c r="C227" s="3"/>
      <c r="D227" s="3"/>
      <c r="E227" s="3"/>
    </row>
    <row r="228" ht="15.75" customHeight="1">
      <c r="A228" s="3"/>
      <c r="B228" s="3"/>
      <c r="C228" s="3"/>
      <c r="D228" s="3"/>
      <c r="E228" s="3"/>
    </row>
    <row r="229" ht="15.75" customHeight="1">
      <c r="A229" s="3"/>
      <c r="B229" s="3"/>
      <c r="C229" s="3"/>
      <c r="D229" s="3"/>
      <c r="E229" s="3"/>
    </row>
    <row r="230" ht="15.75" customHeight="1">
      <c r="A230" s="3"/>
      <c r="B230" s="3"/>
      <c r="C230" s="3"/>
      <c r="D230" s="3"/>
      <c r="E230" s="3"/>
    </row>
    <row r="231" ht="15.75" customHeight="1">
      <c r="A231" s="3"/>
      <c r="B231" s="3"/>
      <c r="C231" s="3"/>
      <c r="D231" s="3"/>
      <c r="E231" s="3"/>
    </row>
    <row r="232" ht="15.75" customHeight="1">
      <c r="A232" s="3"/>
      <c r="B232" s="3"/>
      <c r="C232" s="3"/>
      <c r="D232" s="3"/>
      <c r="E232" s="3"/>
    </row>
    <row r="233" ht="15.75" customHeight="1">
      <c r="A233" s="3"/>
      <c r="B233" s="3"/>
      <c r="C233" s="3"/>
      <c r="D233" s="3"/>
      <c r="E233" s="3"/>
    </row>
    <row r="234" ht="15.75" customHeight="1">
      <c r="A234" s="3"/>
      <c r="B234" s="3"/>
      <c r="C234" s="3"/>
      <c r="D234" s="3"/>
      <c r="E234" s="3"/>
    </row>
    <row r="235" ht="15.75" customHeight="1">
      <c r="A235" s="3"/>
      <c r="B235" s="3"/>
      <c r="C235" s="3"/>
      <c r="D235" s="3"/>
      <c r="E235" s="3"/>
    </row>
    <row r="236" ht="15.75" customHeight="1">
      <c r="A236" s="3"/>
      <c r="B236" s="3"/>
      <c r="C236" s="3"/>
      <c r="D236" s="3"/>
      <c r="E236" s="3"/>
    </row>
    <row r="237" ht="15.75" customHeight="1">
      <c r="A237" s="3"/>
      <c r="B237" s="3"/>
      <c r="C237" s="3"/>
      <c r="D237" s="3"/>
      <c r="E237" s="3"/>
    </row>
    <row r="238" ht="15.75" customHeight="1">
      <c r="A238" s="3"/>
      <c r="B238" s="3"/>
      <c r="C238" s="3"/>
      <c r="D238" s="3"/>
      <c r="E238" s="3"/>
    </row>
    <row r="239" ht="15.75" customHeight="1">
      <c r="A239" s="3"/>
      <c r="B239" s="3"/>
      <c r="C239" s="3"/>
      <c r="D239" s="3"/>
      <c r="E239" s="3"/>
    </row>
    <row r="240" ht="15.75" customHeight="1">
      <c r="A240" s="3"/>
      <c r="B240" s="3"/>
      <c r="C240" s="3"/>
      <c r="D240" s="3"/>
      <c r="E240" s="3"/>
    </row>
    <row r="241" ht="15.75" customHeight="1">
      <c r="A241" s="3"/>
      <c r="B241" s="3"/>
      <c r="C241" s="3"/>
      <c r="D241" s="3"/>
      <c r="E241" s="3"/>
    </row>
    <row r="242" ht="15.75" customHeight="1">
      <c r="A242" s="3"/>
      <c r="B242" s="3"/>
      <c r="C242" s="3"/>
      <c r="D242" s="3"/>
      <c r="E242" s="3"/>
    </row>
    <row r="243" ht="15.75" customHeight="1">
      <c r="A243" s="3"/>
      <c r="B243" s="3"/>
      <c r="C243" s="3"/>
      <c r="D243" s="3"/>
      <c r="E243" s="3"/>
    </row>
    <row r="244" ht="15.75" customHeight="1">
      <c r="A244" s="3"/>
      <c r="B244" s="3"/>
      <c r="C244" s="3"/>
      <c r="D244" s="3"/>
      <c r="E244" s="3"/>
    </row>
    <row r="245" ht="15.75" customHeight="1">
      <c r="A245" s="3"/>
      <c r="B245" s="3"/>
      <c r="C245" s="3"/>
      <c r="D245" s="3"/>
      <c r="E245" s="3"/>
    </row>
    <row r="246" ht="15.75" customHeight="1">
      <c r="A246" s="3"/>
      <c r="B246" s="3"/>
      <c r="C246" s="3"/>
      <c r="D246" s="3"/>
      <c r="E246" s="3"/>
    </row>
    <row r="247" ht="15.75" customHeight="1">
      <c r="A247" s="3"/>
      <c r="B247" s="3"/>
      <c r="C247" s="3"/>
      <c r="D247" s="3"/>
      <c r="E247" s="3"/>
    </row>
    <row r="248" ht="15.75" customHeight="1">
      <c r="A248" s="3"/>
      <c r="B248" s="3"/>
      <c r="C248" s="3"/>
      <c r="D248" s="3"/>
      <c r="E248" s="3"/>
    </row>
    <row r="249" ht="15.75" customHeight="1">
      <c r="A249" s="3"/>
      <c r="B249" s="3"/>
      <c r="C249" s="3"/>
      <c r="D249" s="3"/>
      <c r="E249" s="3"/>
    </row>
    <row r="250" ht="15.75" customHeight="1">
      <c r="A250" s="3"/>
      <c r="B250" s="3"/>
      <c r="C250" s="3"/>
      <c r="D250" s="3"/>
      <c r="E250" s="3"/>
    </row>
    <row r="251" ht="15.75" customHeight="1">
      <c r="A251" s="3"/>
      <c r="B251" s="3"/>
      <c r="C251" s="3"/>
      <c r="D251" s="3"/>
      <c r="E251" s="3"/>
    </row>
    <row r="252" ht="15.75" customHeight="1">
      <c r="A252" s="3"/>
      <c r="B252" s="3"/>
      <c r="C252" s="3"/>
      <c r="D252" s="3"/>
      <c r="E252" s="3"/>
    </row>
    <row r="253" ht="15.75" customHeight="1">
      <c r="A253" s="3"/>
      <c r="B253" s="3"/>
      <c r="C253" s="3"/>
      <c r="D253" s="3"/>
      <c r="E253" s="3"/>
    </row>
    <row r="254" ht="15.75" customHeight="1">
      <c r="A254" s="3"/>
      <c r="B254" s="3"/>
      <c r="C254" s="3"/>
      <c r="D254" s="3"/>
      <c r="E254" s="3"/>
    </row>
    <row r="255" ht="15.75" customHeight="1">
      <c r="A255" s="3"/>
      <c r="B255" s="3"/>
      <c r="C255" s="3"/>
      <c r="D255" s="3"/>
      <c r="E255" s="3"/>
    </row>
    <row r="256" ht="15.75" customHeight="1">
      <c r="A256" s="3"/>
      <c r="B256" s="3"/>
      <c r="C256" s="3"/>
      <c r="D256" s="3"/>
      <c r="E256" s="3"/>
    </row>
    <row r="257" ht="15.75" customHeight="1">
      <c r="A257" s="3"/>
      <c r="B257" s="3"/>
      <c r="C257" s="3"/>
      <c r="D257" s="3"/>
      <c r="E257" s="3"/>
    </row>
    <row r="258" ht="15.75" customHeight="1">
      <c r="A258" s="3"/>
      <c r="B258" s="3"/>
      <c r="C258" s="3"/>
      <c r="D258" s="3"/>
      <c r="E258" s="3"/>
    </row>
    <row r="259" ht="15.75" customHeight="1">
      <c r="A259" s="3"/>
      <c r="B259" s="3"/>
      <c r="C259" s="3"/>
      <c r="D259" s="3"/>
      <c r="E259" s="3"/>
    </row>
    <row r="260" ht="15.75" customHeight="1">
      <c r="A260" s="3"/>
      <c r="B260" s="3"/>
      <c r="C260" s="3"/>
      <c r="D260" s="3"/>
      <c r="E260" s="3"/>
    </row>
    <row r="261" ht="15.75" customHeight="1">
      <c r="A261" s="3"/>
      <c r="B261" s="3"/>
      <c r="C261" s="3"/>
      <c r="D261" s="3"/>
      <c r="E261" s="3"/>
    </row>
    <row r="262" ht="15.75" customHeight="1">
      <c r="A262" s="3"/>
      <c r="B262" s="3"/>
      <c r="C262" s="3"/>
      <c r="D262" s="3"/>
      <c r="E262" s="3"/>
    </row>
    <row r="263" ht="15.75" customHeight="1">
      <c r="A263" s="3"/>
      <c r="B263" s="3"/>
      <c r="C263" s="3"/>
      <c r="D263" s="3"/>
      <c r="E263" s="3"/>
    </row>
    <row r="264" ht="15.75" customHeight="1">
      <c r="A264" s="3"/>
      <c r="B264" s="3"/>
      <c r="C264" s="3"/>
      <c r="D264" s="3"/>
      <c r="E264" s="3"/>
    </row>
    <row r="265" ht="15.75" customHeight="1">
      <c r="A265" s="3"/>
      <c r="B265" s="3"/>
      <c r="C265" s="3"/>
      <c r="D265" s="3"/>
      <c r="E265" s="3"/>
    </row>
    <row r="266" ht="15.75" customHeight="1">
      <c r="A266" s="3"/>
      <c r="B266" s="3"/>
      <c r="C266" s="3"/>
      <c r="D266" s="3"/>
      <c r="E266" s="3"/>
    </row>
    <row r="267" ht="15.75" customHeight="1">
      <c r="A267" s="3"/>
      <c r="B267" s="3"/>
      <c r="C267" s="3"/>
      <c r="D267" s="3"/>
      <c r="E267" s="3"/>
    </row>
    <row r="268" ht="15.75" customHeight="1">
      <c r="A268" s="3"/>
      <c r="B268" s="3"/>
      <c r="C268" s="3"/>
      <c r="D268" s="3"/>
      <c r="E268" s="3"/>
    </row>
    <row r="269" ht="15.75" customHeight="1">
      <c r="A269" s="3"/>
      <c r="B269" s="3"/>
      <c r="C269" s="3"/>
      <c r="D269" s="3"/>
      <c r="E269" s="3"/>
    </row>
    <row r="270" ht="15.75" customHeight="1">
      <c r="A270" s="3"/>
      <c r="B270" s="3"/>
      <c r="C270" s="3"/>
      <c r="D270" s="3"/>
      <c r="E270" s="3"/>
    </row>
    <row r="271" ht="15.75" customHeight="1">
      <c r="A271" s="3"/>
      <c r="B271" s="3"/>
      <c r="C271" s="3"/>
      <c r="D271" s="3"/>
      <c r="E271" s="3"/>
    </row>
    <row r="272" ht="15.75" customHeight="1">
      <c r="A272" s="3"/>
      <c r="B272" s="3"/>
      <c r="C272" s="3"/>
      <c r="D272" s="3"/>
      <c r="E272" s="3"/>
    </row>
    <row r="273" ht="15.75" customHeight="1">
      <c r="A273" s="3"/>
      <c r="B273" s="3"/>
      <c r="C273" s="3"/>
      <c r="D273" s="3"/>
      <c r="E273" s="3"/>
    </row>
    <row r="274" ht="15.75" customHeight="1">
      <c r="A274" s="3"/>
      <c r="B274" s="3"/>
      <c r="C274" s="3"/>
      <c r="D274" s="3"/>
      <c r="E274" s="3"/>
    </row>
    <row r="275" ht="15.75" customHeight="1">
      <c r="A275" s="3"/>
      <c r="B275" s="3"/>
      <c r="C275" s="3"/>
      <c r="D275" s="3"/>
      <c r="E275" s="3"/>
    </row>
    <row r="276" ht="15.75" customHeight="1">
      <c r="A276" s="3"/>
      <c r="B276" s="3"/>
      <c r="C276" s="3"/>
      <c r="D276" s="3"/>
      <c r="E276" s="3"/>
    </row>
    <row r="277" ht="15.75" customHeight="1">
      <c r="A277" s="3"/>
      <c r="B277" s="3"/>
      <c r="C277" s="3"/>
      <c r="D277" s="3"/>
      <c r="E277" s="3"/>
    </row>
    <row r="278" ht="15.75" customHeight="1">
      <c r="A278" s="3"/>
      <c r="B278" s="3"/>
      <c r="C278" s="3"/>
      <c r="D278" s="3"/>
      <c r="E278" s="3"/>
    </row>
    <row r="279" ht="15.75" customHeight="1">
      <c r="A279" s="3"/>
      <c r="B279" s="3"/>
      <c r="C279" s="3"/>
      <c r="D279" s="3"/>
      <c r="E279" s="3"/>
    </row>
    <row r="280" ht="15.75" customHeight="1">
      <c r="A280" s="3"/>
      <c r="B280" s="3"/>
      <c r="C280" s="3"/>
      <c r="D280" s="3"/>
      <c r="E280" s="3"/>
    </row>
    <row r="281" ht="15.75" customHeight="1">
      <c r="A281" s="3"/>
      <c r="B281" s="3"/>
      <c r="C281" s="3"/>
      <c r="D281" s="3"/>
      <c r="E281" s="3"/>
    </row>
    <row r="282" ht="15.75" customHeight="1">
      <c r="A282" s="3"/>
      <c r="B282" s="3"/>
      <c r="C282" s="3"/>
      <c r="D282" s="3"/>
      <c r="E282" s="3"/>
    </row>
    <row r="283" ht="15.75" customHeight="1">
      <c r="A283" s="3"/>
      <c r="B283" s="3"/>
      <c r="C283" s="3"/>
      <c r="D283" s="3"/>
      <c r="E283" s="3"/>
    </row>
    <row r="284" ht="15.75" customHeight="1">
      <c r="A284" s="3"/>
      <c r="B284" s="3"/>
      <c r="C284" s="3"/>
      <c r="D284" s="3"/>
      <c r="E284" s="3"/>
    </row>
    <row r="285" ht="15.75" customHeight="1">
      <c r="A285" s="3"/>
      <c r="B285" s="3"/>
      <c r="C285" s="3"/>
      <c r="D285" s="3"/>
      <c r="E285" s="3"/>
    </row>
    <row r="286" ht="15.75" customHeight="1">
      <c r="A286" s="3"/>
      <c r="B286" s="3"/>
      <c r="C286" s="3"/>
      <c r="D286" s="3"/>
      <c r="E286" s="3"/>
    </row>
    <row r="287" ht="15.75" customHeight="1">
      <c r="A287" s="3"/>
      <c r="B287" s="3"/>
      <c r="C287" s="3"/>
      <c r="D287" s="3"/>
      <c r="E287" s="3"/>
    </row>
    <row r="288" ht="15.75" customHeight="1">
      <c r="A288" s="3"/>
      <c r="B288" s="3"/>
      <c r="C288" s="3"/>
      <c r="D288" s="3"/>
      <c r="E288" s="3"/>
    </row>
    <row r="289" ht="15.75" customHeight="1">
      <c r="A289" s="3"/>
      <c r="B289" s="3"/>
      <c r="C289" s="3"/>
      <c r="D289" s="3"/>
      <c r="E289" s="3"/>
    </row>
    <row r="290" ht="15.75" customHeight="1">
      <c r="A290" s="3"/>
      <c r="B290" s="3"/>
      <c r="C290" s="3"/>
      <c r="D290" s="3"/>
      <c r="E290" s="3"/>
    </row>
    <row r="291" ht="15.75" customHeight="1">
      <c r="A291" s="3"/>
      <c r="B291" s="3"/>
      <c r="C291" s="3"/>
      <c r="D291" s="3"/>
      <c r="E291" s="3"/>
    </row>
    <row r="292" ht="15.75" customHeight="1">
      <c r="A292" s="3"/>
      <c r="B292" s="3"/>
      <c r="C292" s="3"/>
      <c r="D292" s="3"/>
      <c r="E292" s="3"/>
    </row>
    <row r="293" ht="15.75" customHeight="1">
      <c r="A293" s="3"/>
      <c r="B293" s="3"/>
      <c r="C293" s="3"/>
      <c r="D293" s="3"/>
      <c r="E293" s="3"/>
    </row>
    <row r="294" ht="15.75" customHeight="1">
      <c r="A294" s="3"/>
      <c r="B294" s="3"/>
      <c r="C294" s="3"/>
      <c r="D294" s="3"/>
      <c r="E294" s="3"/>
    </row>
    <row r="295" ht="15.75" customHeight="1">
      <c r="A295" s="3"/>
      <c r="B295" s="3"/>
      <c r="C295" s="3"/>
      <c r="D295" s="3"/>
      <c r="E295" s="3"/>
    </row>
    <row r="296" ht="15.75" customHeight="1">
      <c r="A296" s="3"/>
      <c r="B296" s="3"/>
      <c r="C296" s="3"/>
      <c r="D296" s="3"/>
      <c r="E296" s="3"/>
    </row>
    <row r="297" ht="15.75" customHeight="1">
      <c r="A297" s="3"/>
      <c r="B297" s="3"/>
      <c r="C297" s="3"/>
      <c r="D297" s="3"/>
      <c r="E297" s="3"/>
    </row>
    <row r="298" ht="15.75" customHeight="1">
      <c r="A298" s="3"/>
      <c r="B298" s="3"/>
      <c r="C298" s="3"/>
      <c r="D298" s="3"/>
      <c r="E298" s="3"/>
    </row>
    <row r="299" ht="15.75" customHeight="1">
      <c r="A299" s="3"/>
      <c r="B299" s="3"/>
      <c r="C299" s="3"/>
      <c r="D299" s="3"/>
      <c r="E299" s="3"/>
    </row>
    <row r="300" ht="15.75" customHeight="1">
      <c r="A300" s="3"/>
      <c r="B300" s="3"/>
      <c r="C300" s="3"/>
      <c r="D300" s="3"/>
      <c r="E300" s="3"/>
    </row>
    <row r="301" ht="15.75" customHeight="1">
      <c r="A301" s="3"/>
      <c r="B301" s="3"/>
      <c r="C301" s="3"/>
      <c r="D301" s="3"/>
      <c r="E301" s="3"/>
    </row>
    <row r="302" ht="15.75" customHeight="1">
      <c r="A302" s="3"/>
      <c r="B302" s="3"/>
      <c r="C302" s="3"/>
      <c r="D302" s="3"/>
      <c r="E302" s="3"/>
    </row>
    <row r="303" ht="15.75" customHeight="1">
      <c r="A303" s="3"/>
      <c r="B303" s="3"/>
      <c r="C303" s="3"/>
      <c r="D303" s="3"/>
      <c r="E303" s="3"/>
    </row>
    <row r="304" ht="15.75" customHeight="1">
      <c r="A304" s="3"/>
      <c r="B304" s="3"/>
      <c r="C304" s="3"/>
      <c r="D304" s="3"/>
      <c r="E304" s="3"/>
    </row>
    <row r="305" ht="15.75" customHeight="1">
      <c r="A305" s="3"/>
      <c r="B305" s="3"/>
      <c r="C305" s="3"/>
      <c r="D305" s="3"/>
      <c r="E305" s="3"/>
    </row>
    <row r="306" ht="15.75" customHeight="1">
      <c r="A306" s="3"/>
      <c r="B306" s="3"/>
      <c r="C306" s="3"/>
      <c r="D306" s="3"/>
      <c r="E306" s="3"/>
    </row>
    <row r="307" ht="15.75" customHeight="1">
      <c r="A307" s="3"/>
      <c r="B307" s="3"/>
      <c r="C307" s="3"/>
      <c r="D307" s="3"/>
      <c r="E307" s="3"/>
    </row>
    <row r="308" ht="15.75" customHeight="1">
      <c r="A308" s="3"/>
      <c r="B308" s="3"/>
      <c r="C308" s="3"/>
      <c r="D308" s="3"/>
      <c r="E308" s="3"/>
    </row>
    <row r="309" ht="15.75" customHeight="1">
      <c r="A309" s="3"/>
      <c r="B309" s="3"/>
      <c r="C309" s="3"/>
      <c r="D309" s="3"/>
      <c r="E309" s="3"/>
    </row>
    <row r="310" ht="15.75" customHeight="1">
      <c r="A310" s="3"/>
      <c r="B310" s="3"/>
      <c r="C310" s="3"/>
      <c r="D310" s="3"/>
      <c r="E310" s="3"/>
    </row>
    <row r="311" ht="15.75" customHeight="1">
      <c r="A311" s="3"/>
      <c r="B311" s="3"/>
      <c r="C311" s="3"/>
      <c r="D311" s="3"/>
      <c r="E311" s="3"/>
    </row>
    <row r="312" ht="15.75" customHeight="1">
      <c r="A312" s="3"/>
      <c r="B312" s="3"/>
      <c r="C312" s="3"/>
      <c r="D312" s="3"/>
      <c r="E312" s="3"/>
    </row>
    <row r="313" ht="15.75" customHeight="1">
      <c r="A313" s="3"/>
      <c r="B313" s="3"/>
      <c r="C313" s="3"/>
      <c r="D313" s="3"/>
      <c r="E313" s="3"/>
    </row>
    <row r="314" ht="15.75" customHeight="1">
      <c r="A314" s="3"/>
      <c r="B314" s="3"/>
      <c r="C314" s="3"/>
      <c r="D314" s="3"/>
      <c r="E314" s="3"/>
    </row>
    <row r="315" ht="15.75" customHeight="1">
      <c r="A315" s="3"/>
      <c r="B315" s="3"/>
      <c r="C315" s="3"/>
      <c r="D315" s="3"/>
      <c r="E315" s="3"/>
    </row>
    <row r="316" ht="15.75" customHeight="1">
      <c r="A316" s="3"/>
      <c r="B316" s="3"/>
      <c r="C316" s="3"/>
      <c r="D316" s="3"/>
      <c r="E316" s="3"/>
    </row>
    <row r="317" ht="15.75" customHeight="1">
      <c r="A317" s="3"/>
      <c r="B317" s="3"/>
      <c r="C317" s="3"/>
      <c r="D317" s="3"/>
      <c r="E317" s="3"/>
    </row>
    <row r="318" ht="15.75" customHeight="1">
      <c r="A318" s="3"/>
      <c r="B318" s="3"/>
      <c r="C318" s="3"/>
      <c r="D318" s="3"/>
      <c r="E318" s="3"/>
    </row>
    <row r="319" ht="15.75" customHeight="1">
      <c r="A319" s="3"/>
      <c r="B319" s="3"/>
      <c r="C319" s="3"/>
      <c r="D319" s="3"/>
      <c r="E319" s="3"/>
    </row>
    <row r="320" ht="15.75" customHeight="1">
      <c r="A320" s="3"/>
      <c r="B320" s="3"/>
      <c r="C320" s="3"/>
      <c r="D320" s="3"/>
      <c r="E320" s="3"/>
    </row>
    <row r="321" ht="15.75" customHeight="1">
      <c r="A321" s="3"/>
      <c r="B321" s="3"/>
      <c r="C321" s="3"/>
      <c r="D321" s="3"/>
      <c r="E321" s="3"/>
    </row>
    <row r="322" ht="15.75" customHeight="1">
      <c r="A322" s="3"/>
      <c r="B322" s="3"/>
      <c r="C322" s="3"/>
      <c r="D322" s="3"/>
      <c r="E322" s="3"/>
    </row>
    <row r="323" ht="15.75" customHeight="1">
      <c r="A323" s="3"/>
      <c r="B323" s="3"/>
      <c r="C323" s="3"/>
      <c r="D323" s="3"/>
      <c r="E323" s="3"/>
    </row>
    <row r="324" ht="15.75" customHeight="1">
      <c r="A324" s="3"/>
      <c r="B324" s="3"/>
      <c r="C324" s="3"/>
      <c r="D324" s="3"/>
      <c r="E324" s="3"/>
    </row>
    <row r="325" ht="15.75" customHeight="1">
      <c r="A325" s="3"/>
      <c r="B325" s="3"/>
      <c r="C325" s="3"/>
      <c r="D325" s="3"/>
      <c r="E325" s="3"/>
    </row>
    <row r="326" ht="15.75" customHeight="1">
      <c r="A326" s="3"/>
      <c r="B326" s="3"/>
      <c r="C326" s="3"/>
      <c r="D326" s="3"/>
      <c r="E326" s="3"/>
    </row>
    <row r="327" ht="15.75" customHeight="1">
      <c r="A327" s="3"/>
      <c r="B327" s="3"/>
      <c r="C327" s="3"/>
      <c r="D327" s="3"/>
      <c r="E327" s="3"/>
    </row>
    <row r="328" ht="15.75" customHeight="1">
      <c r="A328" s="3"/>
      <c r="B328" s="3"/>
      <c r="C328" s="3"/>
      <c r="D328" s="3"/>
      <c r="E328" s="3"/>
    </row>
    <row r="329" ht="15.75" customHeight="1">
      <c r="A329" s="3"/>
      <c r="B329" s="3"/>
      <c r="C329" s="3"/>
      <c r="D329" s="3"/>
      <c r="E329" s="3"/>
    </row>
    <row r="330" ht="15.75" customHeight="1">
      <c r="A330" s="3"/>
      <c r="B330" s="3"/>
      <c r="C330" s="3"/>
      <c r="D330" s="3"/>
      <c r="E330" s="3"/>
    </row>
    <row r="331" ht="15.75" customHeight="1">
      <c r="A331" s="3"/>
      <c r="B331" s="3"/>
      <c r="C331" s="3"/>
      <c r="D331" s="3"/>
      <c r="E331" s="3"/>
    </row>
    <row r="332" ht="15.75" customHeight="1">
      <c r="A332" s="3"/>
      <c r="B332" s="3"/>
      <c r="C332" s="3"/>
      <c r="D332" s="3"/>
      <c r="E332" s="3"/>
    </row>
    <row r="333" ht="15.75" customHeight="1">
      <c r="A333" s="3"/>
      <c r="B333" s="3"/>
      <c r="C333" s="3"/>
      <c r="D333" s="3"/>
      <c r="E333" s="3"/>
    </row>
    <row r="334" ht="15.75" customHeight="1">
      <c r="A334" s="3"/>
      <c r="B334" s="3"/>
      <c r="C334" s="3"/>
      <c r="D334" s="3"/>
      <c r="E334" s="3"/>
    </row>
    <row r="335" ht="15.75" customHeight="1">
      <c r="A335" s="3"/>
      <c r="B335" s="3"/>
      <c r="C335" s="3"/>
      <c r="D335" s="3"/>
      <c r="E335" s="3"/>
    </row>
    <row r="336" ht="15.75" customHeight="1">
      <c r="A336" s="3"/>
      <c r="B336" s="3"/>
      <c r="C336" s="3"/>
      <c r="D336" s="3"/>
      <c r="E336" s="3"/>
    </row>
    <row r="337" ht="15.75" customHeight="1">
      <c r="A337" s="3"/>
      <c r="B337" s="3"/>
      <c r="C337" s="3"/>
      <c r="D337" s="3"/>
      <c r="E337" s="3"/>
    </row>
    <row r="338" ht="15.75" customHeight="1">
      <c r="A338" s="3"/>
      <c r="B338" s="3"/>
      <c r="C338" s="3"/>
      <c r="D338" s="3"/>
      <c r="E338" s="3"/>
    </row>
    <row r="339" ht="15.75" customHeight="1">
      <c r="A339" s="3"/>
      <c r="B339" s="3"/>
      <c r="C339" s="3"/>
      <c r="D339" s="3"/>
      <c r="E339" s="3"/>
    </row>
    <row r="340" ht="15.75" customHeight="1">
      <c r="A340" s="3"/>
      <c r="B340" s="3"/>
      <c r="C340" s="3"/>
      <c r="D340" s="3"/>
      <c r="E340" s="3"/>
    </row>
    <row r="341" ht="15.75" customHeight="1">
      <c r="A341" s="3"/>
      <c r="B341" s="3"/>
      <c r="C341" s="3"/>
      <c r="D341" s="3"/>
      <c r="E341" s="3"/>
    </row>
    <row r="342" ht="15.75" customHeight="1">
      <c r="A342" s="3"/>
      <c r="B342" s="3"/>
      <c r="C342" s="3"/>
      <c r="D342" s="3"/>
      <c r="E342" s="3"/>
    </row>
    <row r="343" ht="15.75" customHeight="1">
      <c r="A343" s="3"/>
      <c r="B343" s="3"/>
      <c r="C343" s="3"/>
      <c r="D343" s="3"/>
      <c r="E343" s="3"/>
    </row>
    <row r="344" ht="15.75" customHeight="1">
      <c r="A344" s="3"/>
      <c r="B344" s="3"/>
      <c r="C344" s="3"/>
      <c r="D344" s="3"/>
      <c r="E344" s="3"/>
    </row>
    <row r="345" ht="15.75" customHeight="1">
      <c r="A345" s="3"/>
      <c r="B345" s="3"/>
      <c r="C345" s="3"/>
      <c r="D345" s="3"/>
      <c r="E345" s="3"/>
    </row>
    <row r="346" ht="15.75" customHeight="1">
      <c r="A346" s="3"/>
      <c r="B346" s="3"/>
      <c r="C346" s="3"/>
      <c r="D346" s="3"/>
      <c r="E346" s="3"/>
    </row>
    <row r="347" ht="15.75" customHeight="1">
      <c r="A347" s="3"/>
      <c r="B347" s="3"/>
      <c r="C347" s="3"/>
      <c r="D347" s="3"/>
      <c r="E347" s="3"/>
    </row>
    <row r="348" ht="15.75" customHeight="1">
      <c r="A348" s="3"/>
      <c r="B348" s="3"/>
      <c r="C348" s="3"/>
      <c r="D348" s="3"/>
      <c r="E348" s="3"/>
    </row>
    <row r="349" ht="15.75" customHeight="1">
      <c r="A349" s="3"/>
      <c r="B349" s="3"/>
      <c r="C349" s="3"/>
      <c r="D349" s="3"/>
      <c r="E349" s="3"/>
    </row>
    <row r="350" ht="15.75" customHeight="1">
      <c r="A350" s="3"/>
      <c r="B350" s="3"/>
      <c r="C350" s="3"/>
      <c r="D350" s="3"/>
      <c r="E350" s="3"/>
    </row>
    <row r="351" ht="15.75" customHeight="1">
      <c r="A351" s="3"/>
      <c r="B351" s="3"/>
      <c r="C351" s="3"/>
      <c r="D351" s="3"/>
      <c r="E351" s="3"/>
    </row>
    <row r="352" ht="15.75" customHeight="1">
      <c r="A352" s="3"/>
      <c r="B352" s="3"/>
      <c r="C352" s="3"/>
      <c r="D352" s="3"/>
      <c r="E352" s="3"/>
    </row>
    <row r="353" ht="15.75" customHeight="1">
      <c r="A353" s="3"/>
      <c r="B353" s="3"/>
      <c r="C353" s="3"/>
      <c r="D353" s="3"/>
      <c r="E353" s="3"/>
    </row>
    <row r="354" ht="15.75" customHeight="1">
      <c r="A354" s="3"/>
      <c r="B354" s="3"/>
      <c r="C354" s="3"/>
      <c r="D354" s="3"/>
      <c r="E354" s="3"/>
    </row>
    <row r="355" ht="15.75" customHeight="1">
      <c r="A355" s="3"/>
      <c r="B355" s="3"/>
      <c r="C355" s="3"/>
      <c r="D355" s="3"/>
      <c r="E355" s="3"/>
    </row>
    <row r="356" ht="15.75" customHeight="1">
      <c r="A356" s="3"/>
      <c r="B356" s="3"/>
      <c r="C356" s="3"/>
      <c r="D356" s="3"/>
      <c r="E356" s="3"/>
    </row>
    <row r="357" ht="15.75" customHeight="1">
      <c r="A357" s="3"/>
      <c r="B357" s="3"/>
      <c r="C357" s="3"/>
      <c r="D357" s="3"/>
      <c r="E357" s="3"/>
    </row>
    <row r="358" ht="15.75" customHeight="1">
      <c r="A358" s="3"/>
      <c r="B358" s="3"/>
      <c r="C358" s="3"/>
      <c r="D358" s="3"/>
      <c r="E358" s="3"/>
    </row>
    <row r="359" ht="15.75" customHeight="1">
      <c r="A359" s="3"/>
      <c r="B359" s="3"/>
      <c r="C359" s="3"/>
      <c r="D359" s="3"/>
      <c r="E359" s="3"/>
    </row>
    <row r="360" ht="15.75" customHeight="1">
      <c r="A360" s="3"/>
      <c r="B360" s="3"/>
      <c r="C360" s="3"/>
      <c r="D360" s="3"/>
      <c r="E360" s="3"/>
    </row>
    <row r="361" ht="15.75" customHeight="1">
      <c r="A361" s="3"/>
      <c r="B361" s="3"/>
      <c r="C361" s="3"/>
      <c r="D361" s="3"/>
      <c r="E361" s="3"/>
    </row>
    <row r="362" ht="15.75" customHeight="1">
      <c r="A362" s="3"/>
      <c r="B362" s="3"/>
      <c r="C362" s="3"/>
      <c r="D362" s="3"/>
      <c r="E362" s="3"/>
    </row>
    <row r="363" ht="15.75" customHeight="1">
      <c r="A363" s="3"/>
      <c r="B363" s="3"/>
      <c r="C363" s="3"/>
      <c r="D363" s="3"/>
      <c r="E363" s="3"/>
    </row>
    <row r="364" ht="15.75" customHeight="1">
      <c r="A364" s="3"/>
      <c r="B364" s="3"/>
      <c r="C364" s="3"/>
      <c r="D364" s="3"/>
      <c r="E364" s="3"/>
    </row>
    <row r="365" ht="15.75" customHeight="1">
      <c r="A365" s="3"/>
      <c r="B365" s="3"/>
      <c r="C365" s="3"/>
      <c r="D365" s="3"/>
      <c r="E365" s="3"/>
    </row>
    <row r="366" ht="15.75" customHeight="1">
      <c r="A366" s="3"/>
      <c r="B366" s="3"/>
      <c r="C366" s="3"/>
      <c r="D366" s="3"/>
      <c r="E366" s="3"/>
    </row>
    <row r="367" ht="15.75" customHeight="1">
      <c r="A367" s="3"/>
      <c r="B367" s="3"/>
      <c r="C367" s="3"/>
      <c r="D367" s="3"/>
      <c r="E367" s="3"/>
    </row>
    <row r="368" ht="15.75" customHeight="1">
      <c r="A368" s="3"/>
      <c r="B368" s="3"/>
      <c r="C368" s="3"/>
      <c r="D368" s="3"/>
      <c r="E368" s="3"/>
    </row>
    <row r="369" ht="15.75" customHeight="1">
      <c r="A369" s="3"/>
      <c r="B369" s="3"/>
      <c r="C369" s="3"/>
      <c r="D369" s="3"/>
      <c r="E369" s="3"/>
    </row>
    <row r="370" ht="15.75" customHeight="1">
      <c r="A370" s="3"/>
      <c r="B370" s="3"/>
      <c r="C370" s="3"/>
      <c r="D370" s="3"/>
      <c r="E370" s="3"/>
    </row>
    <row r="371" ht="15.75" customHeight="1">
      <c r="A371" s="3"/>
      <c r="B371" s="3"/>
      <c r="C371" s="3"/>
      <c r="D371" s="3"/>
      <c r="E371" s="3"/>
    </row>
    <row r="372" ht="15.75" customHeight="1">
      <c r="A372" s="3"/>
      <c r="B372" s="3"/>
      <c r="C372" s="3"/>
      <c r="D372" s="3"/>
      <c r="E372" s="3"/>
    </row>
    <row r="373" ht="15.75" customHeight="1">
      <c r="A373" s="3"/>
      <c r="B373" s="3"/>
      <c r="C373" s="3"/>
      <c r="D373" s="3"/>
      <c r="E373" s="3"/>
    </row>
    <row r="374" ht="15.75" customHeight="1">
      <c r="A374" s="3"/>
      <c r="B374" s="3"/>
      <c r="C374" s="3"/>
      <c r="D374" s="3"/>
      <c r="E374" s="3"/>
    </row>
    <row r="375" ht="15.75" customHeight="1">
      <c r="A375" s="3"/>
      <c r="B375" s="3"/>
      <c r="C375" s="3"/>
      <c r="D375" s="3"/>
      <c r="E375" s="3"/>
    </row>
    <row r="376" ht="15.75" customHeight="1">
      <c r="A376" s="3"/>
      <c r="B376" s="3"/>
      <c r="C376" s="3"/>
      <c r="D376" s="3"/>
      <c r="E376" s="3"/>
    </row>
    <row r="377" ht="15.75" customHeight="1">
      <c r="A377" s="3"/>
      <c r="B377" s="3"/>
      <c r="C377" s="3"/>
      <c r="D377" s="3"/>
      <c r="E377" s="3"/>
    </row>
    <row r="378" ht="15.75" customHeight="1">
      <c r="A378" s="3"/>
      <c r="B378" s="3"/>
      <c r="C378" s="3"/>
      <c r="D378" s="3"/>
      <c r="E378" s="3"/>
    </row>
    <row r="379" ht="15.75" customHeight="1">
      <c r="A379" s="3"/>
      <c r="B379" s="3"/>
      <c r="C379" s="3"/>
      <c r="D379" s="3"/>
      <c r="E379" s="3"/>
    </row>
    <row r="380" ht="15.75" customHeight="1">
      <c r="A380" s="3"/>
      <c r="B380" s="3"/>
      <c r="C380" s="3"/>
      <c r="D380" s="3"/>
      <c r="E380" s="3"/>
    </row>
    <row r="381" ht="15.75" customHeight="1">
      <c r="A381" s="3"/>
      <c r="B381" s="3"/>
      <c r="C381" s="3"/>
      <c r="D381" s="3"/>
      <c r="E381" s="3"/>
    </row>
    <row r="382" ht="15.75" customHeight="1">
      <c r="A382" s="3"/>
      <c r="B382" s="3"/>
      <c r="C382" s="3"/>
      <c r="D382" s="3"/>
      <c r="E382" s="3"/>
    </row>
    <row r="383" ht="15.75" customHeight="1">
      <c r="A383" s="3"/>
      <c r="B383" s="3"/>
      <c r="C383" s="3"/>
      <c r="D383" s="3"/>
      <c r="E383" s="3"/>
    </row>
    <row r="384" ht="15.75" customHeight="1">
      <c r="A384" s="3"/>
      <c r="B384" s="3"/>
      <c r="C384" s="3"/>
      <c r="D384" s="3"/>
      <c r="E384" s="3"/>
    </row>
    <row r="385" ht="15.75" customHeight="1">
      <c r="A385" s="3"/>
      <c r="B385" s="3"/>
      <c r="C385" s="3"/>
      <c r="D385" s="3"/>
      <c r="E385" s="3"/>
    </row>
    <row r="386" ht="15.75" customHeight="1">
      <c r="A386" s="3"/>
      <c r="B386" s="3"/>
      <c r="C386" s="3"/>
      <c r="D386" s="3"/>
      <c r="E386" s="3"/>
    </row>
    <row r="387" ht="15.75" customHeight="1">
      <c r="A387" s="3"/>
      <c r="B387" s="3"/>
      <c r="C387" s="3"/>
      <c r="D387" s="3"/>
      <c r="E387" s="3"/>
    </row>
    <row r="388" ht="15.75" customHeight="1">
      <c r="A388" s="3"/>
      <c r="B388" s="3"/>
      <c r="C388" s="3"/>
      <c r="D388" s="3"/>
      <c r="E388" s="3"/>
    </row>
    <row r="389" ht="15.75" customHeight="1">
      <c r="A389" s="3"/>
      <c r="B389" s="3"/>
      <c r="C389" s="3"/>
      <c r="D389" s="3"/>
      <c r="E389" s="3"/>
    </row>
    <row r="390" ht="15.75" customHeight="1">
      <c r="A390" s="3"/>
      <c r="B390" s="3"/>
      <c r="C390" s="3"/>
      <c r="D390" s="3"/>
      <c r="E390" s="3"/>
    </row>
    <row r="391" ht="15.75" customHeight="1">
      <c r="A391" s="3"/>
      <c r="B391" s="3"/>
      <c r="C391" s="3"/>
      <c r="D391" s="3"/>
      <c r="E391" s="3"/>
    </row>
    <row r="392" ht="15.75" customHeight="1">
      <c r="A392" s="3"/>
      <c r="B392" s="3"/>
      <c r="C392" s="3"/>
      <c r="D392" s="3"/>
      <c r="E392" s="3"/>
    </row>
    <row r="393" ht="15.75" customHeight="1">
      <c r="A393" s="3"/>
      <c r="B393" s="3"/>
      <c r="C393" s="3"/>
      <c r="D393" s="3"/>
      <c r="E393" s="3"/>
    </row>
    <row r="394" ht="15.75" customHeight="1">
      <c r="A394" s="3"/>
      <c r="B394" s="3"/>
      <c r="C394" s="3"/>
      <c r="D394" s="3"/>
      <c r="E394" s="3"/>
    </row>
    <row r="395" ht="15.75" customHeight="1">
      <c r="A395" s="3"/>
      <c r="B395" s="3"/>
      <c r="C395" s="3"/>
      <c r="D395" s="3"/>
      <c r="E395" s="3"/>
    </row>
    <row r="396" ht="15.75" customHeight="1">
      <c r="A396" s="3"/>
      <c r="B396" s="3"/>
      <c r="C396" s="3"/>
      <c r="D396" s="3"/>
      <c r="E396" s="3"/>
    </row>
    <row r="397" ht="15.75" customHeight="1">
      <c r="A397" s="3"/>
      <c r="B397" s="3"/>
      <c r="C397" s="3"/>
      <c r="D397" s="3"/>
      <c r="E397" s="3"/>
    </row>
    <row r="398" ht="15.75" customHeight="1">
      <c r="A398" s="3"/>
      <c r="B398" s="3"/>
      <c r="C398" s="3"/>
      <c r="D398" s="3"/>
      <c r="E398" s="3"/>
    </row>
    <row r="399" ht="15.75" customHeight="1">
      <c r="A399" s="3"/>
      <c r="B399" s="3"/>
      <c r="C399" s="3"/>
      <c r="D399" s="3"/>
      <c r="E399" s="3"/>
    </row>
    <row r="400" ht="15.75" customHeight="1">
      <c r="A400" s="3"/>
      <c r="B400" s="3"/>
      <c r="C400" s="3"/>
      <c r="D400" s="3"/>
      <c r="E400" s="3"/>
    </row>
    <row r="401" ht="15.75" customHeight="1">
      <c r="A401" s="3"/>
      <c r="B401" s="3"/>
      <c r="C401" s="3"/>
      <c r="D401" s="3"/>
      <c r="E401" s="3"/>
    </row>
    <row r="402" ht="15.75" customHeight="1">
      <c r="A402" s="3"/>
      <c r="B402" s="3"/>
      <c r="C402" s="3"/>
      <c r="D402" s="3"/>
      <c r="E402" s="3"/>
    </row>
    <row r="403" ht="15.75" customHeight="1">
      <c r="A403" s="3"/>
      <c r="B403" s="3"/>
      <c r="C403" s="3"/>
      <c r="D403" s="3"/>
      <c r="E403" s="3"/>
    </row>
    <row r="404" ht="15.75" customHeight="1">
      <c r="A404" s="3"/>
      <c r="B404" s="3"/>
      <c r="C404" s="3"/>
      <c r="D404" s="3"/>
      <c r="E404" s="3"/>
    </row>
    <row r="405" ht="15.75" customHeight="1">
      <c r="A405" s="3"/>
      <c r="B405" s="3"/>
      <c r="C405" s="3"/>
      <c r="D405" s="3"/>
      <c r="E405" s="3"/>
    </row>
    <row r="406" ht="15.75" customHeight="1">
      <c r="A406" s="3"/>
      <c r="B406" s="3"/>
      <c r="C406" s="3"/>
      <c r="D406" s="3"/>
      <c r="E406" s="3"/>
    </row>
    <row r="407" ht="15.75" customHeight="1">
      <c r="A407" s="3"/>
      <c r="B407" s="3"/>
      <c r="C407" s="3"/>
      <c r="D407" s="3"/>
      <c r="E407" s="3"/>
    </row>
    <row r="408" ht="15.75" customHeight="1">
      <c r="A408" s="3"/>
      <c r="B408" s="3"/>
      <c r="C408" s="3"/>
      <c r="D408" s="3"/>
      <c r="E408" s="3"/>
    </row>
    <row r="409" ht="15.75" customHeight="1">
      <c r="A409" s="3"/>
      <c r="B409" s="3"/>
      <c r="C409" s="3"/>
      <c r="D409" s="3"/>
      <c r="E409" s="3"/>
    </row>
    <row r="410" ht="15.75" customHeight="1">
      <c r="A410" s="3"/>
      <c r="B410" s="3"/>
      <c r="C410" s="3"/>
      <c r="D410" s="3"/>
      <c r="E410" s="3"/>
    </row>
    <row r="411" ht="15.75" customHeight="1">
      <c r="A411" s="3"/>
      <c r="B411" s="3"/>
      <c r="C411" s="3"/>
      <c r="D411" s="3"/>
      <c r="E411" s="3"/>
    </row>
    <row r="412" ht="15.75" customHeight="1">
      <c r="A412" s="3"/>
      <c r="B412" s="3"/>
      <c r="C412" s="3"/>
      <c r="D412" s="3"/>
      <c r="E412" s="3"/>
    </row>
    <row r="413" ht="15.75" customHeight="1">
      <c r="A413" s="3"/>
      <c r="B413" s="3"/>
      <c r="C413" s="3"/>
      <c r="D413" s="3"/>
      <c r="E413" s="3"/>
    </row>
    <row r="414" ht="15.75" customHeight="1">
      <c r="A414" s="3"/>
      <c r="B414" s="3"/>
      <c r="C414" s="3"/>
      <c r="D414" s="3"/>
      <c r="E414" s="3"/>
    </row>
    <row r="415" ht="15.75" customHeight="1">
      <c r="A415" s="3"/>
      <c r="B415" s="3"/>
      <c r="C415" s="3"/>
      <c r="D415" s="3"/>
      <c r="E415" s="3"/>
    </row>
    <row r="416" ht="15.75" customHeight="1">
      <c r="A416" s="3"/>
      <c r="B416" s="3"/>
      <c r="C416" s="3"/>
      <c r="D416" s="3"/>
      <c r="E416" s="3"/>
    </row>
    <row r="417" ht="15.75" customHeight="1">
      <c r="A417" s="3"/>
      <c r="B417" s="3"/>
      <c r="C417" s="3"/>
      <c r="D417" s="3"/>
      <c r="E417" s="3"/>
    </row>
    <row r="418" ht="15.75" customHeight="1">
      <c r="A418" s="3"/>
      <c r="B418" s="3"/>
      <c r="C418" s="3"/>
      <c r="D418" s="3"/>
      <c r="E418" s="3"/>
    </row>
    <row r="419" ht="15.75" customHeight="1">
      <c r="A419" s="3"/>
      <c r="B419" s="3"/>
      <c r="C419" s="3"/>
      <c r="D419" s="3"/>
      <c r="E419" s="3"/>
    </row>
    <row r="420" ht="15.75" customHeight="1">
      <c r="A420" s="3"/>
      <c r="B420" s="3"/>
      <c r="C420" s="3"/>
      <c r="D420" s="3"/>
      <c r="E420" s="3"/>
    </row>
    <row r="421" ht="15.75" customHeight="1">
      <c r="A421" s="3"/>
      <c r="B421" s="3"/>
      <c r="C421" s="3"/>
      <c r="D421" s="3"/>
      <c r="E421" s="3"/>
    </row>
    <row r="422" ht="15.75" customHeight="1">
      <c r="A422" s="3"/>
      <c r="B422" s="3"/>
      <c r="C422" s="3"/>
      <c r="D422" s="3"/>
      <c r="E422" s="3"/>
    </row>
    <row r="423" ht="15.75" customHeight="1">
      <c r="A423" s="3"/>
      <c r="B423" s="3"/>
      <c r="C423" s="3"/>
      <c r="D423" s="3"/>
      <c r="E423" s="3"/>
    </row>
    <row r="424" ht="15.75" customHeight="1">
      <c r="A424" s="3"/>
      <c r="B424" s="3"/>
      <c r="C424" s="3"/>
      <c r="D424" s="3"/>
      <c r="E424" s="3"/>
    </row>
    <row r="425" ht="15.75" customHeight="1">
      <c r="A425" s="3"/>
      <c r="B425" s="3"/>
      <c r="C425" s="3"/>
      <c r="D425" s="3"/>
      <c r="E425" s="3"/>
    </row>
    <row r="426" ht="15.75" customHeight="1">
      <c r="A426" s="3"/>
      <c r="B426" s="3"/>
      <c r="C426" s="3"/>
      <c r="D426" s="3"/>
      <c r="E426" s="3"/>
    </row>
    <row r="427" ht="15.75" customHeight="1">
      <c r="A427" s="3"/>
      <c r="B427" s="3"/>
      <c r="C427" s="3"/>
      <c r="D427" s="3"/>
      <c r="E427" s="3"/>
    </row>
    <row r="428" ht="15.75" customHeight="1">
      <c r="A428" s="3"/>
      <c r="B428" s="3"/>
      <c r="C428" s="3"/>
      <c r="D428" s="3"/>
      <c r="E428" s="3"/>
    </row>
    <row r="429" ht="15.75" customHeight="1">
      <c r="A429" s="3"/>
      <c r="B429" s="3"/>
      <c r="C429" s="3"/>
      <c r="D429" s="3"/>
      <c r="E429" s="3"/>
    </row>
    <row r="430" ht="15.75" customHeight="1">
      <c r="A430" s="3"/>
      <c r="B430" s="3"/>
      <c r="C430" s="3"/>
      <c r="D430" s="3"/>
      <c r="E430" s="3"/>
    </row>
    <row r="431" ht="15.75" customHeight="1">
      <c r="A431" s="3"/>
      <c r="B431" s="3"/>
      <c r="C431" s="3"/>
      <c r="D431" s="3"/>
      <c r="E431" s="3"/>
    </row>
    <row r="432" ht="15.75" customHeight="1">
      <c r="A432" s="3"/>
      <c r="B432" s="3"/>
      <c r="C432" s="3"/>
      <c r="D432" s="3"/>
      <c r="E432" s="3"/>
    </row>
    <row r="433" ht="15.75" customHeight="1">
      <c r="A433" s="3"/>
      <c r="B433" s="3"/>
      <c r="C433" s="3"/>
      <c r="D433" s="3"/>
      <c r="E433" s="3"/>
    </row>
    <row r="434" ht="15.75" customHeight="1">
      <c r="A434" s="3"/>
      <c r="B434" s="3"/>
      <c r="C434" s="3"/>
      <c r="D434" s="3"/>
      <c r="E434" s="3"/>
    </row>
    <row r="435" ht="15.75" customHeight="1">
      <c r="A435" s="3"/>
      <c r="B435" s="3"/>
      <c r="C435" s="3"/>
      <c r="D435" s="3"/>
      <c r="E435" s="3"/>
    </row>
    <row r="436" ht="15.75" customHeight="1">
      <c r="A436" s="3"/>
      <c r="B436" s="3"/>
      <c r="C436" s="3"/>
      <c r="D436" s="3"/>
      <c r="E436" s="3"/>
    </row>
    <row r="437" ht="15.75" customHeight="1">
      <c r="A437" s="3"/>
      <c r="B437" s="3"/>
      <c r="C437" s="3"/>
      <c r="D437" s="3"/>
      <c r="E437" s="3"/>
    </row>
    <row r="438" ht="15.75" customHeight="1">
      <c r="A438" s="3"/>
      <c r="B438" s="3"/>
      <c r="C438" s="3"/>
      <c r="D438" s="3"/>
      <c r="E438" s="3"/>
    </row>
    <row r="439" ht="15.75" customHeight="1">
      <c r="A439" s="3"/>
      <c r="B439" s="3"/>
      <c r="C439" s="3"/>
      <c r="D439" s="3"/>
      <c r="E439" s="3"/>
    </row>
    <row r="440" ht="15.75" customHeight="1">
      <c r="A440" s="3"/>
      <c r="B440" s="3"/>
      <c r="C440" s="3"/>
      <c r="D440" s="3"/>
      <c r="E440" s="3"/>
    </row>
    <row r="441" ht="15.75" customHeight="1">
      <c r="A441" s="3"/>
      <c r="B441" s="3"/>
      <c r="C441" s="3"/>
      <c r="D441" s="3"/>
      <c r="E441" s="3"/>
    </row>
    <row r="442" ht="15.75" customHeight="1">
      <c r="A442" s="3"/>
      <c r="B442" s="3"/>
      <c r="C442" s="3"/>
      <c r="D442" s="3"/>
      <c r="E442" s="3"/>
    </row>
    <row r="443" ht="15.75" customHeight="1">
      <c r="A443" s="3"/>
      <c r="B443" s="3"/>
      <c r="C443" s="3"/>
      <c r="D443" s="3"/>
      <c r="E443" s="3"/>
    </row>
    <row r="444" ht="15.75" customHeight="1">
      <c r="A444" s="3"/>
      <c r="B444" s="3"/>
      <c r="C444" s="3"/>
      <c r="D444" s="3"/>
      <c r="E444" s="3"/>
    </row>
    <row r="445" ht="15.75" customHeight="1">
      <c r="A445" s="3"/>
      <c r="B445" s="3"/>
      <c r="C445" s="3"/>
      <c r="D445" s="3"/>
      <c r="E445" s="3"/>
    </row>
    <row r="446" ht="15.75" customHeight="1">
      <c r="A446" s="3"/>
      <c r="B446" s="3"/>
      <c r="C446" s="3"/>
      <c r="D446" s="3"/>
      <c r="E446" s="3"/>
    </row>
    <row r="447" ht="15.75" customHeight="1">
      <c r="A447" s="3"/>
      <c r="B447" s="3"/>
      <c r="C447" s="3"/>
      <c r="D447" s="3"/>
      <c r="E447" s="3"/>
    </row>
    <row r="448" ht="15.75" customHeight="1">
      <c r="A448" s="3"/>
      <c r="B448" s="3"/>
      <c r="C448" s="3"/>
      <c r="D448" s="3"/>
      <c r="E448" s="3"/>
    </row>
    <row r="449" ht="15.75" customHeight="1">
      <c r="A449" s="3"/>
      <c r="B449" s="3"/>
      <c r="C449" s="3"/>
      <c r="D449" s="3"/>
      <c r="E449" s="3"/>
    </row>
    <row r="450" ht="15.75" customHeight="1">
      <c r="A450" s="3"/>
      <c r="B450" s="3"/>
      <c r="C450" s="3"/>
      <c r="D450" s="3"/>
      <c r="E450" s="3"/>
    </row>
    <row r="451" ht="15.75" customHeight="1">
      <c r="A451" s="3"/>
      <c r="B451" s="3"/>
      <c r="C451" s="3"/>
      <c r="D451" s="3"/>
      <c r="E451" s="3"/>
    </row>
    <row r="452" ht="15.75" customHeight="1">
      <c r="A452" s="3"/>
      <c r="B452" s="3"/>
      <c r="C452" s="3"/>
      <c r="D452" s="3"/>
      <c r="E452" s="3"/>
    </row>
    <row r="453" ht="15.75" customHeight="1">
      <c r="A453" s="3"/>
      <c r="B453" s="3"/>
      <c r="C453" s="3"/>
      <c r="D453" s="3"/>
      <c r="E453" s="3"/>
    </row>
    <row r="454" ht="15.75" customHeight="1">
      <c r="A454" s="3"/>
      <c r="B454" s="3"/>
      <c r="C454" s="3"/>
      <c r="D454" s="3"/>
      <c r="E454" s="3"/>
    </row>
    <row r="455" ht="15.75" customHeight="1">
      <c r="A455" s="3"/>
      <c r="B455" s="3"/>
      <c r="C455" s="3"/>
      <c r="D455" s="3"/>
      <c r="E455" s="3"/>
    </row>
    <row r="456" ht="15.75" customHeight="1">
      <c r="A456" s="3"/>
      <c r="B456" s="3"/>
      <c r="C456" s="3"/>
      <c r="D456" s="3"/>
      <c r="E456" s="3"/>
    </row>
    <row r="457" ht="15.75" customHeight="1">
      <c r="A457" s="3"/>
      <c r="B457" s="3"/>
      <c r="C457" s="3"/>
      <c r="D457" s="3"/>
      <c r="E457" s="3"/>
    </row>
    <row r="458" ht="15.75" customHeight="1">
      <c r="A458" s="3"/>
      <c r="B458" s="3"/>
      <c r="C458" s="3"/>
      <c r="D458" s="3"/>
      <c r="E458" s="3"/>
    </row>
    <row r="459" ht="15.75" customHeight="1">
      <c r="A459" s="3"/>
      <c r="B459" s="3"/>
      <c r="C459" s="3"/>
      <c r="D459" s="3"/>
      <c r="E459" s="3"/>
    </row>
    <row r="460" ht="15.75" customHeight="1">
      <c r="A460" s="3"/>
      <c r="B460" s="3"/>
      <c r="C460" s="3"/>
      <c r="D460" s="3"/>
      <c r="E460" s="3"/>
    </row>
    <row r="461" ht="15.75" customHeight="1">
      <c r="A461" s="3"/>
      <c r="B461" s="3"/>
      <c r="C461" s="3"/>
      <c r="D461" s="3"/>
      <c r="E461" s="3"/>
    </row>
    <row r="462" ht="15.75" customHeight="1">
      <c r="A462" s="3"/>
      <c r="B462" s="3"/>
      <c r="C462" s="3"/>
      <c r="D462" s="3"/>
      <c r="E462" s="3"/>
    </row>
    <row r="463" ht="15.75" customHeight="1">
      <c r="A463" s="3"/>
      <c r="B463" s="3"/>
      <c r="C463" s="3"/>
      <c r="D463" s="3"/>
      <c r="E463" s="3"/>
    </row>
    <row r="464" ht="15.75" customHeight="1">
      <c r="A464" s="3"/>
      <c r="B464" s="3"/>
      <c r="C464" s="3"/>
      <c r="D464" s="3"/>
      <c r="E464" s="3"/>
    </row>
    <row r="465" ht="15.75" customHeight="1">
      <c r="A465" s="3"/>
      <c r="B465" s="3"/>
      <c r="C465" s="3"/>
      <c r="D465" s="3"/>
      <c r="E465" s="3"/>
    </row>
    <row r="466" ht="15.75" customHeight="1">
      <c r="A466" s="3"/>
      <c r="B466" s="3"/>
      <c r="C466" s="3"/>
      <c r="D466" s="3"/>
      <c r="E466" s="3"/>
    </row>
    <row r="467" ht="15.75" customHeight="1">
      <c r="A467" s="3"/>
      <c r="B467" s="3"/>
      <c r="C467" s="3"/>
      <c r="D467" s="3"/>
      <c r="E467" s="3"/>
    </row>
    <row r="468" ht="15.75" customHeight="1">
      <c r="A468" s="3"/>
      <c r="B468" s="3"/>
      <c r="C468" s="3"/>
      <c r="D468" s="3"/>
      <c r="E468" s="3"/>
    </row>
    <row r="469" ht="15.75" customHeight="1">
      <c r="A469" s="3"/>
      <c r="B469" s="3"/>
      <c r="C469" s="3"/>
      <c r="D469" s="3"/>
      <c r="E469" s="3"/>
    </row>
    <row r="470" ht="15.75" customHeight="1">
      <c r="A470" s="3"/>
      <c r="B470" s="3"/>
      <c r="C470" s="3"/>
      <c r="D470" s="3"/>
      <c r="E470" s="3"/>
    </row>
    <row r="471" ht="15.75" customHeight="1">
      <c r="A471" s="3"/>
      <c r="B471" s="3"/>
      <c r="C471" s="3"/>
      <c r="D471" s="3"/>
      <c r="E471" s="3"/>
    </row>
    <row r="472" ht="15.75" customHeight="1">
      <c r="A472" s="3"/>
      <c r="B472" s="3"/>
      <c r="C472" s="3"/>
      <c r="D472" s="3"/>
      <c r="E472" s="3"/>
    </row>
    <row r="473" ht="15.75" customHeight="1">
      <c r="A473" s="3"/>
      <c r="B473" s="3"/>
      <c r="C473" s="3"/>
      <c r="D473" s="3"/>
      <c r="E473" s="3"/>
    </row>
    <row r="474" ht="15.75" customHeight="1">
      <c r="A474" s="3"/>
      <c r="B474" s="3"/>
      <c r="C474" s="3"/>
      <c r="D474" s="3"/>
      <c r="E474" s="3"/>
    </row>
    <row r="475" ht="15.75" customHeight="1">
      <c r="A475" s="3"/>
      <c r="B475" s="3"/>
      <c r="C475" s="3"/>
      <c r="D475" s="3"/>
      <c r="E475" s="3"/>
    </row>
    <row r="476" ht="15.75" customHeight="1">
      <c r="A476" s="3"/>
      <c r="B476" s="3"/>
      <c r="C476" s="3"/>
      <c r="D476" s="3"/>
      <c r="E476" s="3"/>
    </row>
    <row r="477" ht="15.75" customHeight="1">
      <c r="A477" s="3"/>
      <c r="B477" s="3"/>
      <c r="C477" s="3"/>
      <c r="D477" s="3"/>
      <c r="E477" s="3"/>
    </row>
    <row r="478" ht="15.75" customHeight="1">
      <c r="A478" s="3"/>
      <c r="B478" s="3"/>
      <c r="C478" s="3"/>
      <c r="D478" s="3"/>
      <c r="E478" s="3"/>
    </row>
    <row r="479" ht="15.75" customHeight="1">
      <c r="A479" s="3"/>
      <c r="B479" s="3"/>
      <c r="C479" s="3"/>
      <c r="D479" s="3"/>
      <c r="E479" s="3"/>
    </row>
    <row r="480" ht="15.75" customHeight="1">
      <c r="A480" s="3"/>
      <c r="B480" s="3"/>
      <c r="C480" s="3"/>
      <c r="D480" s="3"/>
      <c r="E480" s="3"/>
    </row>
    <row r="481" ht="15.75" customHeight="1">
      <c r="A481" s="3"/>
      <c r="B481" s="3"/>
      <c r="C481" s="3"/>
      <c r="D481" s="3"/>
      <c r="E481" s="3"/>
    </row>
    <row r="482" ht="15.75" customHeight="1">
      <c r="A482" s="3"/>
      <c r="B482" s="3"/>
      <c r="C482" s="3"/>
      <c r="D482" s="3"/>
      <c r="E482" s="3"/>
    </row>
    <row r="483" ht="15.75" customHeight="1">
      <c r="A483" s="3"/>
      <c r="B483" s="3"/>
      <c r="C483" s="3"/>
      <c r="D483" s="3"/>
      <c r="E483" s="3"/>
    </row>
    <row r="484" ht="15.75" customHeight="1">
      <c r="A484" s="3"/>
      <c r="B484" s="3"/>
      <c r="C484" s="3"/>
      <c r="D484" s="3"/>
      <c r="E484" s="3"/>
    </row>
    <row r="485" ht="15.75" customHeight="1">
      <c r="A485" s="3"/>
      <c r="B485" s="3"/>
      <c r="C485" s="3"/>
      <c r="D485" s="3"/>
      <c r="E485" s="3"/>
    </row>
    <row r="486" ht="15.75" customHeight="1">
      <c r="A486" s="3"/>
      <c r="B486" s="3"/>
      <c r="C486" s="3"/>
      <c r="D486" s="3"/>
      <c r="E486" s="3"/>
    </row>
    <row r="487" ht="15.75" customHeight="1">
      <c r="A487" s="3"/>
      <c r="B487" s="3"/>
      <c r="C487" s="3"/>
      <c r="D487" s="3"/>
      <c r="E487" s="3"/>
    </row>
    <row r="488" ht="15.75" customHeight="1">
      <c r="A488" s="3"/>
      <c r="B488" s="3"/>
      <c r="C488" s="3"/>
      <c r="D488" s="3"/>
      <c r="E488" s="3"/>
    </row>
    <row r="489" ht="15.75" customHeight="1">
      <c r="A489" s="3"/>
      <c r="B489" s="3"/>
      <c r="C489" s="3"/>
      <c r="D489" s="3"/>
      <c r="E489" s="3"/>
    </row>
    <row r="490" ht="15.75" customHeight="1">
      <c r="A490" s="3"/>
      <c r="B490" s="3"/>
      <c r="C490" s="3"/>
      <c r="D490" s="3"/>
      <c r="E490" s="3"/>
    </row>
    <row r="491" ht="15.75" customHeight="1">
      <c r="A491" s="3"/>
      <c r="B491" s="3"/>
      <c r="C491" s="3"/>
      <c r="D491" s="3"/>
      <c r="E491" s="3"/>
    </row>
    <row r="492" ht="15.75" customHeight="1">
      <c r="A492" s="3"/>
      <c r="B492" s="3"/>
      <c r="C492" s="3"/>
      <c r="D492" s="3"/>
      <c r="E492" s="3"/>
    </row>
    <row r="493" ht="15.75" customHeight="1">
      <c r="A493" s="3"/>
      <c r="B493" s="3"/>
      <c r="C493" s="3"/>
      <c r="D493" s="3"/>
      <c r="E493" s="3"/>
    </row>
    <row r="494" ht="15.75" customHeight="1">
      <c r="A494" s="3"/>
      <c r="B494" s="3"/>
      <c r="C494" s="3"/>
      <c r="D494" s="3"/>
      <c r="E494" s="3"/>
    </row>
    <row r="495" ht="15.75" customHeight="1">
      <c r="A495" s="3"/>
      <c r="B495" s="3"/>
      <c r="C495" s="3"/>
      <c r="D495" s="3"/>
      <c r="E495" s="3"/>
    </row>
    <row r="496" ht="15.75" customHeight="1">
      <c r="A496" s="3"/>
      <c r="B496" s="3"/>
      <c r="C496" s="3"/>
      <c r="D496" s="3"/>
      <c r="E496" s="3"/>
    </row>
    <row r="497" ht="15.75" customHeight="1">
      <c r="A497" s="3"/>
      <c r="B497" s="3"/>
      <c r="C497" s="3"/>
      <c r="D497" s="3"/>
      <c r="E497" s="3"/>
    </row>
    <row r="498" ht="15.75" customHeight="1">
      <c r="A498" s="3"/>
      <c r="B498" s="3"/>
      <c r="C498" s="3"/>
      <c r="D498" s="3"/>
      <c r="E498" s="3"/>
    </row>
    <row r="499" ht="15.75" customHeight="1">
      <c r="A499" s="3"/>
      <c r="B499" s="3"/>
      <c r="C499" s="3"/>
      <c r="D499" s="3"/>
      <c r="E499" s="3"/>
    </row>
    <row r="500" ht="15.75" customHeight="1">
      <c r="A500" s="3"/>
      <c r="B500" s="3"/>
      <c r="C500" s="3"/>
      <c r="D500" s="3"/>
      <c r="E500" s="3"/>
    </row>
    <row r="501" ht="15.75" customHeight="1">
      <c r="A501" s="3"/>
      <c r="B501" s="3"/>
      <c r="C501" s="3"/>
      <c r="D501" s="3"/>
      <c r="E501" s="3"/>
    </row>
    <row r="502" ht="15.75" customHeight="1">
      <c r="A502" s="3"/>
      <c r="B502" s="3"/>
      <c r="C502" s="3"/>
      <c r="D502" s="3"/>
      <c r="E502" s="3"/>
    </row>
    <row r="503" ht="15.75" customHeight="1">
      <c r="A503" s="3"/>
      <c r="B503" s="3"/>
      <c r="C503" s="3"/>
      <c r="D503" s="3"/>
      <c r="E503" s="3"/>
    </row>
    <row r="504" ht="15.75" customHeight="1">
      <c r="A504" s="3"/>
      <c r="B504" s="3"/>
      <c r="C504" s="3"/>
      <c r="D504" s="3"/>
      <c r="E504" s="3"/>
    </row>
    <row r="505" ht="15.75" customHeight="1">
      <c r="A505" s="3"/>
      <c r="B505" s="3"/>
      <c r="C505" s="3"/>
      <c r="D505" s="3"/>
      <c r="E505" s="3"/>
    </row>
    <row r="506" ht="15.75" customHeight="1">
      <c r="A506" s="3"/>
      <c r="B506" s="3"/>
      <c r="C506" s="3"/>
      <c r="D506" s="3"/>
      <c r="E506" s="3"/>
    </row>
    <row r="507" ht="15.75" customHeight="1">
      <c r="A507" s="3"/>
      <c r="B507" s="3"/>
      <c r="C507" s="3"/>
      <c r="D507" s="3"/>
      <c r="E507" s="3"/>
    </row>
    <row r="508" ht="15.75" customHeight="1">
      <c r="A508" s="3"/>
      <c r="B508" s="3"/>
      <c r="C508" s="3"/>
      <c r="D508" s="3"/>
      <c r="E508" s="3"/>
    </row>
    <row r="509" ht="15.75" customHeight="1">
      <c r="A509" s="3"/>
      <c r="B509" s="3"/>
      <c r="C509" s="3"/>
      <c r="D509" s="3"/>
      <c r="E509" s="3"/>
    </row>
    <row r="510" ht="15.75" customHeight="1">
      <c r="A510" s="3"/>
      <c r="B510" s="3"/>
      <c r="C510" s="3"/>
      <c r="D510" s="3"/>
      <c r="E510" s="3"/>
    </row>
    <row r="511" ht="15.75" customHeight="1">
      <c r="A511" s="3"/>
      <c r="B511" s="3"/>
      <c r="C511" s="3"/>
      <c r="D511" s="3"/>
      <c r="E511" s="3"/>
    </row>
    <row r="512" ht="15.75" customHeight="1">
      <c r="A512" s="3"/>
      <c r="B512" s="3"/>
      <c r="C512" s="3"/>
      <c r="D512" s="3"/>
      <c r="E512" s="3"/>
    </row>
    <row r="513" ht="15.75" customHeight="1">
      <c r="A513" s="3"/>
      <c r="B513" s="3"/>
      <c r="C513" s="3"/>
      <c r="D513" s="3"/>
      <c r="E513" s="3"/>
    </row>
    <row r="514" ht="15.75" customHeight="1">
      <c r="A514" s="3"/>
      <c r="B514" s="3"/>
      <c r="C514" s="3"/>
      <c r="D514" s="3"/>
      <c r="E514" s="3"/>
    </row>
    <row r="515" ht="15.75" customHeight="1">
      <c r="A515" s="3"/>
      <c r="B515" s="3"/>
      <c r="C515" s="3"/>
      <c r="D515" s="3"/>
      <c r="E515" s="3"/>
    </row>
    <row r="516" ht="15.75" customHeight="1">
      <c r="A516" s="3"/>
      <c r="B516" s="3"/>
      <c r="C516" s="3"/>
      <c r="D516" s="3"/>
      <c r="E516" s="3"/>
    </row>
    <row r="517" ht="15.75" customHeight="1">
      <c r="A517" s="3"/>
      <c r="B517" s="3"/>
      <c r="C517" s="3"/>
      <c r="D517" s="3"/>
      <c r="E517" s="3"/>
    </row>
    <row r="518" ht="15.75" customHeight="1">
      <c r="A518" s="3"/>
      <c r="B518" s="3"/>
      <c r="C518" s="3"/>
      <c r="D518" s="3"/>
      <c r="E518" s="3"/>
    </row>
    <row r="519" ht="15.75" customHeight="1">
      <c r="A519" s="3"/>
      <c r="B519" s="3"/>
      <c r="C519" s="3"/>
      <c r="D519" s="3"/>
      <c r="E519" s="3"/>
    </row>
    <row r="520" ht="15.75" customHeight="1">
      <c r="A520" s="3"/>
      <c r="B520" s="3"/>
      <c r="C520" s="3"/>
      <c r="D520" s="3"/>
      <c r="E520" s="3"/>
    </row>
    <row r="521" ht="15.75" customHeight="1">
      <c r="A521" s="3"/>
      <c r="B521" s="3"/>
      <c r="C521" s="3"/>
      <c r="D521" s="3"/>
      <c r="E521" s="3"/>
    </row>
    <row r="522" ht="15.75" customHeight="1">
      <c r="A522" s="3"/>
      <c r="B522" s="3"/>
      <c r="C522" s="3"/>
      <c r="D522" s="3"/>
      <c r="E522" s="3"/>
    </row>
    <row r="523" ht="15.75" customHeight="1">
      <c r="A523" s="3"/>
      <c r="B523" s="3"/>
      <c r="C523" s="3"/>
      <c r="D523" s="3"/>
      <c r="E523" s="3"/>
    </row>
    <row r="524" ht="15.75" customHeight="1">
      <c r="A524" s="3"/>
      <c r="B524" s="3"/>
      <c r="C524" s="3"/>
      <c r="D524" s="3"/>
      <c r="E524" s="3"/>
    </row>
    <row r="525" ht="15.75" customHeight="1">
      <c r="A525" s="3"/>
      <c r="B525" s="3"/>
      <c r="C525" s="3"/>
      <c r="D525" s="3"/>
      <c r="E525" s="3"/>
    </row>
    <row r="526" ht="15.75" customHeight="1">
      <c r="A526" s="3"/>
      <c r="B526" s="3"/>
      <c r="C526" s="3"/>
      <c r="D526" s="3"/>
      <c r="E526" s="3"/>
    </row>
    <row r="527" ht="15.75" customHeight="1">
      <c r="A527" s="3"/>
      <c r="B527" s="3"/>
      <c r="C527" s="3"/>
      <c r="D527" s="3"/>
      <c r="E527" s="3"/>
    </row>
    <row r="528" ht="15.75" customHeight="1">
      <c r="A528" s="3"/>
      <c r="B528" s="3"/>
      <c r="C528" s="3"/>
      <c r="D528" s="3"/>
      <c r="E528" s="3"/>
    </row>
    <row r="529" ht="15.75" customHeight="1">
      <c r="A529" s="3"/>
      <c r="B529" s="3"/>
      <c r="C529" s="3"/>
      <c r="D529" s="3"/>
      <c r="E529" s="3"/>
    </row>
    <row r="530" ht="15.75" customHeight="1">
      <c r="A530" s="3"/>
      <c r="B530" s="3"/>
      <c r="C530" s="3"/>
      <c r="D530" s="3"/>
      <c r="E530" s="3"/>
    </row>
    <row r="531" ht="15.75" customHeight="1">
      <c r="A531" s="3"/>
      <c r="B531" s="3"/>
      <c r="C531" s="3"/>
      <c r="D531" s="3"/>
      <c r="E531" s="3"/>
    </row>
    <row r="532" ht="15.75" customHeight="1">
      <c r="A532" s="3"/>
      <c r="B532" s="3"/>
      <c r="C532" s="3"/>
      <c r="D532" s="3"/>
      <c r="E532" s="3"/>
    </row>
    <row r="533" ht="15.75" customHeight="1">
      <c r="A533" s="3"/>
      <c r="B533" s="3"/>
      <c r="C533" s="3"/>
      <c r="D533" s="3"/>
      <c r="E533" s="3"/>
    </row>
    <row r="534" ht="15.75" customHeight="1">
      <c r="A534" s="3"/>
      <c r="B534" s="3"/>
      <c r="C534" s="3"/>
      <c r="D534" s="3"/>
      <c r="E534" s="3"/>
    </row>
    <row r="535" ht="15.75" customHeight="1">
      <c r="A535" s="3"/>
      <c r="B535" s="3"/>
      <c r="C535" s="3"/>
      <c r="D535" s="3"/>
      <c r="E535" s="3"/>
    </row>
    <row r="536" ht="15.75" customHeight="1">
      <c r="A536" s="3"/>
      <c r="B536" s="3"/>
      <c r="C536" s="3"/>
      <c r="D536" s="3"/>
      <c r="E536" s="3"/>
    </row>
    <row r="537" ht="15.75" customHeight="1">
      <c r="A537" s="3"/>
      <c r="B537" s="3"/>
      <c r="C537" s="3"/>
      <c r="D537" s="3"/>
      <c r="E537" s="3"/>
    </row>
    <row r="538" ht="15.75" customHeight="1">
      <c r="A538" s="3"/>
      <c r="B538" s="3"/>
      <c r="C538" s="3"/>
      <c r="D538" s="3"/>
      <c r="E538" s="3"/>
    </row>
    <row r="539" ht="15.75" customHeight="1">
      <c r="A539" s="3"/>
      <c r="B539" s="3"/>
      <c r="C539" s="3"/>
      <c r="D539" s="3"/>
      <c r="E539" s="3"/>
    </row>
    <row r="540" ht="15.75" customHeight="1">
      <c r="A540" s="3"/>
      <c r="B540" s="3"/>
      <c r="C540" s="3"/>
      <c r="D540" s="3"/>
      <c r="E540" s="3"/>
    </row>
    <row r="541" ht="15.75" customHeight="1">
      <c r="A541" s="3"/>
      <c r="B541" s="3"/>
      <c r="C541" s="3"/>
      <c r="D541" s="3"/>
      <c r="E541" s="3"/>
    </row>
    <row r="542" ht="15.75" customHeight="1">
      <c r="A542" s="3"/>
      <c r="B542" s="3"/>
      <c r="C542" s="3"/>
      <c r="D542" s="3"/>
      <c r="E542" s="3"/>
    </row>
    <row r="543" ht="15.75" customHeight="1">
      <c r="A543" s="3"/>
      <c r="B543" s="3"/>
      <c r="C543" s="3"/>
      <c r="D543" s="3"/>
      <c r="E543" s="3"/>
    </row>
    <row r="544" ht="15.75" customHeight="1">
      <c r="A544" s="3"/>
      <c r="B544" s="3"/>
      <c r="C544" s="3"/>
      <c r="D544" s="3"/>
      <c r="E544" s="3"/>
    </row>
    <row r="545" ht="15.75" customHeight="1">
      <c r="A545" s="3"/>
      <c r="B545" s="3"/>
      <c r="C545" s="3"/>
      <c r="D545" s="3"/>
      <c r="E545" s="3"/>
    </row>
    <row r="546" ht="15.75" customHeight="1">
      <c r="A546" s="3"/>
      <c r="B546" s="3"/>
      <c r="C546" s="3"/>
      <c r="D546" s="3"/>
      <c r="E546" s="3"/>
    </row>
    <row r="547" ht="15.75" customHeight="1">
      <c r="A547" s="3"/>
      <c r="B547" s="3"/>
      <c r="C547" s="3"/>
      <c r="D547" s="3"/>
      <c r="E547" s="3"/>
    </row>
    <row r="548" ht="15.75" customHeight="1">
      <c r="A548" s="3"/>
      <c r="B548" s="3"/>
      <c r="C548" s="3"/>
      <c r="D548" s="3"/>
      <c r="E548" s="3"/>
    </row>
    <row r="549" ht="15.75" customHeight="1">
      <c r="A549" s="3"/>
      <c r="B549" s="3"/>
      <c r="C549" s="3"/>
      <c r="D549" s="3"/>
      <c r="E549" s="3"/>
    </row>
    <row r="550" ht="15.75" customHeight="1">
      <c r="A550" s="3"/>
      <c r="B550" s="3"/>
      <c r="C550" s="3"/>
      <c r="D550" s="3"/>
      <c r="E550" s="3"/>
    </row>
    <row r="551" ht="15.75" customHeight="1">
      <c r="A551" s="3"/>
      <c r="B551" s="3"/>
      <c r="C551" s="3"/>
      <c r="D551" s="3"/>
      <c r="E551" s="3"/>
    </row>
    <row r="552" ht="15.75" customHeight="1">
      <c r="A552" s="3"/>
      <c r="B552" s="3"/>
      <c r="C552" s="3"/>
      <c r="D552" s="3"/>
      <c r="E552" s="3"/>
    </row>
    <row r="553" ht="15.75" customHeight="1">
      <c r="A553" s="3"/>
      <c r="B553" s="3"/>
      <c r="C553" s="3"/>
      <c r="D553" s="3"/>
      <c r="E553" s="3"/>
    </row>
    <row r="554" ht="15.75" customHeight="1">
      <c r="A554" s="3"/>
      <c r="B554" s="3"/>
      <c r="C554" s="3"/>
      <c r="D554" s="3"/>
      <c r="E554" s="3"/>
    </row>
    <row r="555" ht="15.75" customHeight="1">
      <c r="A555" s="3"/>
      <c r="B555" s="3"/>
      <c r="C555" s="3"/>
      <c r="D555" s="3"/>
      <c r="E555" s="3"/>
    </row>
    <row r="556" ht="15.75" customHeight="1">
      <c r="A556" s="3"/>
      <c r="B556" s="3"/>
      <c r="C556" s="3"/>
      <c r="D556" s="3"/>
      <c r="E556" s="3"/>
    </row>
    <row r="557" ht="15.75" customHeight="1">
      <c r="A557" s="3"/>
      <c r="B557" s="3"/>
      <c r="C557" s="3"/>
      <c r="D557" s="3"/>
      <c r="E557" s="3"/>
    </row>
    <row r="558" ht="15.75" customHeight="1">
      <c r="A558" s="3"/>
      <c r="B558" s="3"/>
      <c r="C558" s="3"/>
      <c r="D558" s="3"/>
      <c r="E558" s="3"/>
    </row>
    <row r="559" ht="15.75" customHeight="1">
      <c r="A559" s="3"/>
      <c r="B559" s="3"/>
      <c r="C559" s="3"/>
      <c r="D559" s="3"/>
      <c r="E559" s="3"/>
    </row>
    <row r="560" ht="15.75" customHeight="1">
      <c r="A560" s="3"/>
      <c r="B560" s="3"/>
      <c r="C560" s="3"/>
      <c r="D560" s="3"/>
      <c r="E560" s="3"/>
    </row>
    <row r="561" ht="15.75" customHeight="1">
      <c r="A561" s="3"/>
      <c r="B561" s="3"/>
      <c r="C561" s="3"/>
      <c r="D561" s="3"/>
      <c r="E561" s="3"/>
    </row>
    <row r="562" ht="15.75" customHeight="1">
      <c r="A562" s="3"/>
      <c r="B562" s="3"/>
      <c r="C562" s="3"/>
      <c r="D562" s="3"/>
      <c r="E562" s="3"/>
    </row>
    <row r="563" ht="15.75" customHeight="1">
      <c r="A563" s="3"/>
      <c r="B563" s="3"/>
      <c r="C563" s="3"/>
      <c r="D563" s="3"/>
      <c r="E563" s="3"/>
    </row>
    <row r="564" ht="15.75" customHeight="1">
      <c r="A564" s="3"/>
      <c r="B564" s="3"/>
      <c r="C564" s="3"/>
      <c r="D564" s="3"/>
      <c r="E564" s="3"/>
    </row>
    <row r="565" ht="15.75" customHeight="1">
      <c r="A565" s="3"/>
      <c r="B565" s="3"/>
      <c r="C565" s="3"/>
      <c r="D565" s="3"/>
      <c r="E565" s="3"/>
    </row>
    <row r="566" ht="15.75" customHeight="1">
      <c r="A566" s="3"/>
      <c r="B566" s="3"/>
      <c r="C566" s="3"/>
      <c r="D566" s="3"/>
      <c r="E566" s="3"/>
    </row>
    <row r="567" ht="15.75" customHeight="1">
      <c r="A567" s="3"/>
      <c r="B567" s="3"/>
      <c r="C567" s="3"/>
      <c r="D567" s="3"/>
      <c r="E567" s="3"/>
    </row>
    <row r="568" ht="15.75" customHeight="1">
      <c r="A568" s="3"/>
      <c r="B568" s="3"/>
      <c r="C568" s="3"/>
      <c r="D568" s="3"/>
      <c r="E568" s="3"/>
    </row>
    <row r="569" ht="15.75" customHeight="1">
      <c r="A569" s="3"/>
      <c r="B569" s="3"/>
      <c r="C569" s="3"/>
      <c r="D569" s="3"/>
      <c r="E569" s="3"/>
    </row>
    <row r="570" ht="15.75" customHeight="1">
      <c r="A570" s="3"/>
      <c r="B570" s="3"/>
      <c r="C570" s="3"/>
      <c r="D570" s="3"/>
      <c r="E570" s="3"/>
    </row>
    <row r="571" ht="15.75" customHeight="1">
      <c r="A571" s="3"/>
      <c r="B571" s="3"/>
      <c r="C571" s="3"/>
      <c r="D571" s="3"/>
      <c r="E571" s="3"/>
    </row>
    <row r="572" ht="15.75" customHeight="1">
      <c r="A572" s="3"/>
      <c r="B572" s="3"/>
      <c r="C572" s="3"/>
      <c r="D572" s="3"/>
      <c r="E572" s="3"/>
    </row>
    <row r="573" ht="15.75" customHeight="1">
      <c r="A573" s="3"/>
      <c r="B573" s="3"/>
      <c r="C573" s="3"/>
      <c r="D573" s="3"/>
      <c r="E573" s="3"/>
    </row>
    <row r="574" ht="15.75" customHeight="1">
      <c r="A574" s="3"/>
      <c r="B574" s="3"/>
      <c r="C574" s="3"/>
      <c r="D574" s="3"/>
      <c r="E574" s="3"/>
    </row>
    <row r="575" ht="15.75" customHeight="1">
      <c r="A575" s="3"/>
      <c r="B575" s="3"/>
      <c r="C575" s="3"/>
      <c r="D575" s="3"/>
      <c r="E575" s="3"/>
    </row>
    <row r="576" ht="15.75" customHeight="1">
      <c r="A576" s="3"/>
      <c r="B576" s="3"/>
      <c r="C576" s="3"/>
      <c r="D576" s="3"/>
      <c r="E576" s="3"/>
    </row>
    <row r="577" ht="15.75" customHeight="1">
      <c r="A577" s="3"/>
      <c r="B577" s="3"/>
      <c r="C577" s="3"/>
      <c r="D577" s="3"/>
      <c r="E577" s="3"/>
    </row>
    <row r="578" ht="15.75" customHeight="1">
      <c r="A578" s="3"/>
      <c r="B578" s="3"/>
      <c r="C578" s="3"/>
      <c r="D578" s="3"/>
      <c r="E578" s="3"/>
    </row>
    <row r="579" ht="15.75" customHeight="1">
      <c r="A579" s="3"/>
      <c r="B579" s="3"/>
      <c r="C579" s="3"/>
      <c r="D579" s="3"/>
      <c r="E579" s="3"/>
    </row>
    <row r="580" ht="15.75" customHeight="1">
      <c r="A580" s="3"/>
      <c r="B580" s="3"/>
      <c r="C580" s="3"/>
      <c r="D580" s="3"/>
      <c r="E580" s="3"/>
    </row>
    <row r="581" ht="15.75" customHeight="1">
      <c r="A581" s="3"/>
      <c r="B581" s="3"/>
      <c r="C581" s="3"/>
      <c r="D581" s="3"/>
      <c r="E581" s="3"/>
    </row>
    <row r="582" ht="15.75" customHeight="1">
      <c r="A582" s="3"/>
      <c r="B582" s="3"/>
      <c r="C582" s="3"/>
      <c r="D582" s="3"/>
      <c r="E582" s="3"/>
    </row>
    <row r="583" ht="15.75" customHeight="1">
      <c r="A583" s="3"/>
      <c r="B583" s="3"/>
      <c r="C583" s="3"/>
      <c r="D583" s="3"/>
      <c r="E583" s="3"/>
    </row>
    <row r="584" ht="15.75" customHeight="1">
      <c r="A584" s="3"/>
      <c r="B584" s="3"/>
      <c r="C584" s="3"/>
      <c r="D584" s="3"/>
      <c r="E584" s="3"/>
    </row>
    <row r="585" ht="15.75" customHeight="1">
      <c r="A585" s="3"/>
      <c r="B585" s="3"/>
      <c r="C585" s="3"/>
      <c r="D585" s="3"/>
      <c r="E585" s="3"/>
    </row>
    <row r="586" ht="15.75" customHeight="1">
      <c r="A586" s="3"/>
      <c r="B586" s="3"/>
      <c r="C586" s="3"/>
      <c r="D586" s="3"/>
      <c r="E586" s="3"/>
    </row>
    <row r="587" ht="15.75" customHeight="1">
      <c r="A587" s="3"/>
      <c r="B587" s="3"/>
      <c r="C587" s="3"/>
      <c r="D587" s="3"/>
      <c r="E587" s="3"/>
    </row>
    <row r="588" ht="15.75" customHeight="1">
      <c r="A588" s="3"/>
      <c r="B588" s="3"/>
      <c r="C588" s="3"/>
      <c r="D588" s="3"/>
      <c r="E588" s="3"/>
    </row>
    <row r="589" ht="15.75" customHeight="1">
      <c r="A589" s="3"/>
      <c r="B589" s="3"/>
      <c r="C589" s="3"/>
      <c r="D589" s="3"/>
      <c r="E589" s="3"/>
    </row>
    <row r="590" ht="15.75" customHeight="1">
      <c r="A590" s="3"/>
      <c r="B590" s="3"/>
      <c r="C590" s="3"/>
      <c r="D590" s="3"/>
      <c r="E590" s="3"/>
    </row>
    <row r="591" ht="15.75" customHeight="1">
      <c r="A591" s="3"/>
      <c r="B591" s="3"/>
      <c r="C591" s="3"/>
      <c r="D591" s="3"/>
      <c r="E591" s="3"/>
    </row>
    <row r="592" ht="15.75" customHeight="1">
      <c r="A592" s="3"/>
      <c r="B592" s="3"/>
      <c r="C592" s="3"/>
      <c r="D592" s="3"/>
      <c r="E592" s="3"/>
    </row>
    <row r="593" ht="15.75" customHeight="1">
      <c r="A593" s="3"/>
      <c r="B593" s="3"/>
      <c r="C593" s="3"/>
      <c r="D593" s="3"/>
      <c r="E593" s="3"/>
    </row>
    <row r="594" ht="15.75" customHeight="1">
      <c r="A594" s="3"/>
      <c r="B594" s="3"/>
      <c r="C594" s="3"/>
      <c r="D594" s="3"/>
      <c r="E594" s="3"/>
    </row>
    <row r="595" ht="15.75" customHeight="1">
      <c r="A595" s="3"/>
      <c r="B595" s="3"/>
      <c r="C595" s="3"/>
      <c r="D595" s="3"/>
      <c r="E595" s="3"/>
    </row>
    <row r="596" ht="15.75" customHeight="1">
      <c r="A596" s="3"/>
      <c r="B596" s="3"/>
      <c r="C596" s="3"/>
      <c r="D596" s="3"/>
      <c r="E596" s="3"/>
    </row>
    <row r="597" ht="15.75" customHeight="1">
      <c r="A597" s="3"/>
      <c r="B597" s="3"/>
      <c r="C597" s="3"/>
      <c r="D597" s="3"/>
      <c r="E597" s="3"/>
    </row>
    <row r="598" ht="15.75" customHeight="1">
      <c r="A598" s="3"/>
      <c r="B598" s="3"/>
      <c r="C598" s="3"/>
      <c r="D598" s="3"/>
      <c r="E598" s="3"/>
    </row>
    <row r="599" ht="15.75" customHeight="1">
      <c r="A599" s="3"/>
      <c r="B599" s="3"/>
      <c r="C599" s="3"/>
      <c r="D599" s="3"/>
      <c r="E599" s="3"/>
    </row>
    <row r="600" ht="15.75" customHeight="1">
      <c r="A600" s="3"/>
      <c r="B600" s="3"/>
      <c r="C600" s="3"/>
      <c r="D600" s="3"/>
      <c r="E600" s="3"/>
    </row>
    <row r="601" ht="15.75" customHeight="1">
      <c r="A601" s="3"/>
      <c r="B601" s="3"/>
      <c r="C601" s="3"/>
      <c r="D601" s="3"/>
      <c r="E601" s="3"/>
    </row>
    <row r="602" ht="15.75" customHeight="1">
      <c r="A602" s="3"/>
      <c r="B602" s="3"/>
      <c r="C602" s="3"/>
      <c r="D602" s="3"/>
      <c r="E602" s="3"/>
    </row>
    <row r="603" ht="15.75" customHeight="1">
      <c r="A603" s="3"/>
      <c r="B603" s="3"/>
      <c r="C603" s="3"/>
      <c r="D603" s="3"/>
      <c r="E603" s="3"/>
    </row>
    <row r="604" ht="15.75" customHeight="1">
      <c r="A604" s="3"/>
      <c r="B604" s="3"/>
      <c r="C604" s="3"/>
      <c r="D604" s="3"/>
      <c r="E604" s="3"/>
    </row>
    <row r="605" ht="15.75" customHeight="1">
      <c r="A605" s="3"/>
      <c r="B605" s="3"/>
      <c r="C605" s="3"/>
      <c r="D605" s="3"/>
      <c r="E605" s="3"/>
    </row>
    <row r="606" ht="15.75" customHeight="1">
      <c r="A606" s="3"/>
      <c r="B606" s="3"/>
      <c r="C606" s="3"/>
      <c r="D606" s="3"/>
      <c r="E606" s="3"/>
    </row>
    <row r="607" ht="15.75" customHeight="1">
      <c r="A607" s="3"/>
      <c r="B607" s="3"/>
      <c r="C607" s="3"/>
      <c r="D607" s="3"/>
      <c r="E607" s="3"/>
    </row>
    <row r="608" ht="15.75" customHeight="1">
      <c r="A608" s="3"/>
      <c r="B608" s="3"/>
      <c r="C608" s="3"/>
      <c r="D608" s="3"/>
      <c r="E608" s="3"/>
    </row>
    <row r="609" ht="15.75" customHeight="1">
      <c r="A609" s="3"/>
      <c r="B609" s="3"/>
      <c r="C609" s="3"/>
      <c r="D609" s="3"/>
      <c r="E609" s="3"/>
    </row>
    <row r="610" ht="15.75" customHeight="1">
      <c r="A610" s="3"/>
      <c r="B610" s="3"/>
      <c r="C610" s="3"/>
      <c r="D610" s="3"/>
      <c r="E610" s="3"/>
    </row>
    <row r="611" ht="15.75" customHeight="1">
      <c r="A611" s="3"/>
      <c r="B611" s="3"/>
      <c r="C611" s="3"/>
      <c r="D611" s="3"/>
      <c r="E611" s="3"/>
    </row>
    <row r="612" ht="15.75" customHeight="1">
      <c r="A612" s="3"/>
      <c r="B612" s="3"/>
      <c r="C612" s="3"/>
      <c r="D612" s="3"/>
      <c r="E612" s="3"/>
    </row>
    <row r="613" ht="15.75" customHeight="1">
      <c r="A613" s="3"/>
      <c r="B613" s="3"/>
      <c r="C613" s="3"/>
      <c r="D613" s="3"/>
      <c r="E613" s="3"/>
    </row>
    <row r="614" ht="15.75" customHeight="1">
      <c r="A614" s="3"/>
      <c r="B614" s="3"/>
      <c r="C614" s="3"/>
      <c r="D614" s="3"/>
      <c r="E614" s="3"/>
    </row>
    <row r="615" ht="15.75" customHeight="1">
      <c r="A615" s="3"/>
      <c r="B615" s="3"/>
      <c r="C615" s="3"/>
      <c r="D615" s="3"/>
      <c r="E615" s="3"/>
    </row>
    <row r="616" ht="15.75" customHeight="1">
      <c r="A616" s="3"/>
      <c r="B616" s="3"/>
      <c r="C616" s="3"/>
      <c r="D616" s="3"/>
      <c r="E616" s="3"/>
    </row>
    <row r="617" ht="15.75" customHeight="1">
      <c r="A617" s="3"/>
      <c r="B617" s="3"/>
      <c r="C617" s="3"/>
      <c r="D617" s="3"/>
      <c r="E617" s="3"/>
    </row>
    <row r="618" ht="15.75" customHeight="1">
      <c r="A618" s="3"/>
      <c r="B618" s="3"/>
      <c r="C618" s="3"/>
      <c r="D618" s="3"/>
      <c r="E618" s="3"/>
    </row>
    <row r="619" ht="15.75" customHeight="1">
      <c r="A619" s="3"/>
      <c r="B619" s="3"/>
      <c r="C619" s="3"/>
      <c r="D619" s="3"/>
      <c r="E619" s="3"/>
    </row>
    <row r="620" ht="15.75" customHeight="1">
      <c r="A620" s="3"/>
      <c r="B620" s="3"/>
      <c r="C620" s="3"/>
      <c r="D620" s="3"/>
      <c r="E620" s="3"/>
    </row>
    <row r="621" ht="15.75" customHeight="1">
      <c r="A621" s="3"/>
      <c r="B621" s="3"/>
      <c r="C621" s="3"/>
      <c r="D621" s="3"/>
      <c r="E621" s="3"/>
    </row>
    <row r="622" ht="15.75" customHeight="1">
      <c r="A622" s="3"/>
      <c r="B622" s="3"/>
      <c r="C622" s="3"/>
      <c r="D622" s="3"/>
      <c r="E622" s="3"/>
    </row>
    <row r="623" ht="15.75" customHeight="1">
      <c r="A623" s="3"/>
      <c r="B623" s="3"/>
      <c r="C623" s="3"/>
      <c r="D623" s="3"/>
      <c r="E623" s="3"/>
    </row>
    <row r="624" ht="15.75" customHeight="1">
      <c r="A624" s="3"/>
      <c r="B624" s="3"/>
      <c r="C624" s="3"/>
      <c r="D624" s="3"/>
      <c r="E624" s="3"/>
    </row>
    <row r="625" ht="15.75" customHeight="1">
      <c r="A625" s="3"/>
      <c r="B625" s="3"/>
      <c r="C625" s="3"/>
      <c r="D625" s="3"/>
      <c r="E625" s="3"/>
    </row>
    <row r="626" ht="15.75" customHeight="1">
      <c r="A626" s="3"/>
      <c r="B626" s="3"/>
      <c r="C626" s="3"/>
      <c r="D626" s="3"/>
      <c r="E626" s="3"/>
    </row>
    <row r="627" ht="15.75" customHeight="1">
      <c r="A627" s="3"/>
      <c r="B627" s="3"/>
      <c r="C627" s="3"/>
      <c r="D627" s="3"/>
      <c r="E627" s="3"/>
    </row>
    <row r="628" ht="15.75" customHeight="1">
      <c r="A628" s="3"/>
      <c r="B628" s="3"/>
      <c r="C628" s="3"/>
      <c r="D628" s="3"/>
      <c r="E628" s="3"/>
    </row>
    <row r="629" ht="15.75" customHeight="1">
      <c r="A629" s="3"/>
      <c r="B629" s="3"/>
      <c r="C629" s="3"/>
      <c r="D629" s="3"/>
      <c r="E629" s="3"/>
    </row>
    <row r="630" ht="15.75" customHeight="1">
      <c r="A630" s="3"/>
      <c r="B630" s="3"/>
      <c r="C630" s="3"/>
      <c r="D630" s="3"/>
      <c r="E630" s="3"/>
    </row>
    <row r="631" ht="15.75" customHeight="1">
      <c r="A631" s="3"/>
      <c r="B631" s="3"/>
      <c r="C631" s="3"/>
      <c r="D631" s="3"/>
      <c r="E631" s="3"/>
    </row>
    <row r="632" ht="15.75" customHeight="1">
      <c r="A632" s="3"/>
      <c r="B632" s="3"/>
      <c r="C632" s="3"/>
      <c r="D632" s="3"/>
      <c r="E632" s="3"/>
    </row>
    <row r="633" ht="15.75" customHeight="1">
      <c r="A633" s="3"/>
      <c r="B633" s="3"/>
      <c r="C633" s="3"/>
      <c r="D633" s="3"/>
      <c r="E633" s="3"/>
    </row>
    <row r="634" ht="15.75" customHeight="1">
      <c r="A634" s="3"/>
      <c r="B634" s="3"/>
      <c r="C634" s="3"/>
      <c r="D634" s="3"/>
      <c r="E634" s="3"/>
    </row>
    <row r="635" ht="15.75" customHeight="1">
      <c r="A635" s="3"/>
      <c r="B635" s="3"/>
      <c r="C635" s="3"/>
      <c r="D635" s="3"/>
      <c r="E635" s="3"/>
    </row>
    <row r="636" ht="15.75" customHeight="1">
      <c r="A636" s="3"/>
      <c r="B636" s="3"/>
      <c r="C636" s="3"/>
      <c r="D636" s="3"/>
      <c r="E636" s="3"/>
    </row>
    <row r="637" ht="15.75" customHeight="1">
      <c r="A637" s="3"/>
      <c r="B637" s="3"/>
      <c r="C637" s="3"/>
      <c r="D637" s="3"/>
      <c r="E637" s="3"/>
    </row>
    <row r="638" ht="15.75" customHeight="1">
      <c r="A638" s="3"/>
      <c r="B638" s="3"/>
      <c r="C638" s="3"/>
      <c r="D638" s="3"/>
      <c r="E638" s="3"/>
    </row>
    <row r="639" ht="15.75" customHeight="1">
      <c r="A639" s="3"/>
      <c r="B639" s="3"/>
      <c r="C639" s="3"/>
      <c r="D639" s="3"/>
      <c r="E639" s="3"/>
    </row>
    <row r="640" ht="15.75" customHeight="1">
      <c r="A640" s="3"/>
      <c r="B640" s="3"/>
      <c r="C640" s="3"/>
      <c r="D640" s="3"/>
      <c r="E640" s="3"/>
    </row>
    <row r="641" ht="15.75" customHeight="1">
      <c r="A641" s="3"/>
      <c r="B641" s="3"/>
      <c r="C641" s="3"/>
      <c r="D641" s="3"/>
      <c r="E641" s="3"/>
    </row>
    <row r="642" ht="15.75" customHeight="1">
      <c r="A642" s="3"/>
      <c r="B642" s="3"/>
      <c r="C642" s="3"/>
      <c r="D642" s="3"/>
      <c r="E642" s="3"/>
    </row>
    <row r="643" ht="15.75" customHeight="1">
      <c r="A643" s="3"/>
      <c r="B643" s="3"/>
      <c r="C643" s="3"/>
      <c r="D643" s="3"/>
      <c r="E643" s="3"/>
    </row>
    <row r="644" ht="15.75" customHeight="1">
      <c r="A644" s="3"/>
      <c r="B644" s="3"/>
      <c r="C644" s="3"/>
      <c r="D644" s="3"/>
      <c r="E644" s="3"/>
    </row>
    <row r="645" ht="15.75" customHeight="1">
      <c r="A645" s="3"/>
      <c r="B645" s="3"/>
      <c r="C645" s="3"/>
      <c r="D645" s="3"/>
      <c r="E645" s="3"/>
    </row>
    <row r="646" ht="15.75" customHeight="1">
      <c r="A646" s="3"/>
      <c r="B646" s="3"/>
      <c r="C646" s="3"/>
      <c r="D646" s="3"/>
      <c r="E646" s="3"/>
    </row>
    <row r="647" ht="15.75" customHeight="1">
      <c r="A647" s="3"/>
      <c r="B647" s="3"/>
      <c r="C647" s="3"/>
      <c r="D647" s="3"/>
      <c r="E647" s="3"/>
    </row>
    <row r="648" ht="15.75" customHeight="1">
      <c r="A648" s="3"/>
      <c r="B648" s="3"/>
      <c r="C648" s="3"/>
      <c r="D648" s="3"/>
      <c r="E648" s="3"/>
    </row>
    <row r="649" ht="15.75" customHeight="1">
      <c r="A649" s="3"/>
      <c r="B649" s="3"/>
      <c r="C649" s="3"/>
      <c r="D649" s="3"/>
      <c r="E649" s="3"/>
    </row>
    <row r="650" ht="15.75" customHeight="1">
      <c r="A650" s="3"/>
      <c r="B650" s="3"/>
      <c r="C650" s="3"/>
      <c r="D650" s="3"/>
      <c r="E650" s="3"/>
    </row>
    <row r="651" ht="15.75" customHeight="1">
      <c r="A651" s="3"/>
      <c r="B651" s="3"/>
      <c r="C651" s="3"/>
      <c r="D651" s="3"/>
      <c r="E651" s="3"/>
    </row>
    <row r="652" ht="15.75" customHeight="1">
      <c r="A652" s="3"/>
      <c r="B652" s="3"/>
      <c r="C652" s="3"/>
      <c r="D652" s="3"/>
      <c r="E652" s="3"/>
    </row>
    <row r="653" ht="15.75" customHeight="1">
      <c r="A653" s="3"/>
      <c r="B653" s="3"/>
      <c r="C653" s="3"/>
      <c r="D653" s="3"/>
      <c r="E653" s="3"/>
    </row>
    <row r="654" ht="15.75" customHeight="1">
      <c r="A654" s="3"/>
      <c r="B654" s="3"/>
      <c r="C654" s="3"/>
      <c r="D654" s="3"/>
      <c r="E654" s="3"/>
    </row>
    <row r="655" ht="15.75" customHeight="1">
      <c r="A655" s="3"/>
      <c r="B655" s="3"/>
      <c r="C655" s="3"/>
      <c r="D655" s="3"/>
      <c r="E655" s="3"/>
    </row>
    <row r="656" ht="15.75" customHeight="1">
      <c r="A656" s="3"/>
      <c r="B656" s="3"/>
      <c r="C656" s="3"/>
      <c r="D656" s="3"/>
      <c r="E656" s="3"/>
    </row>
    <row r="657" ht="15.75" customHeight="1">
      <c r="A657" s="3"/>
      <c r="B657" s="3"/>
      <c r="C657" s="3"/>
      <c r="D657" s="3"/>
      <c r="E657" s="3"/>
    </row>
    <row r="658" ht="15.75" customHeight="1">
      <c r="A658" s="3"/>
      <c r="B658" s="3"/>
      <c r="C658" s="3"/>
      <c r="D658" s="3"/>
      <c r="E658" s="3"/>
    </row>
    <row r="659" ht="15.75" customHeight="1">
      <c r="A659" s="3"/>
      <c r="B659" s="3"/>
      <c r="C659" s="3"/>
      <c r="D659" s="3"/>
      <c r="E659" s="3"/>
    </row>
    <row r="660" ht="15.75" customHeight="1">
      <c r="A660" s="3"/>
      <c r="B660" s="3"/>
      <c r="C660" s="3"/>
      <c r="D660" s="3"/>
      <c r="E660" s="3"/>
    </row>
    <row r="661" ht="15.75" customHeight="1">
      <c r="A661" s="3"/>
      <c r="B661" s="3"/>
      <c r="C661" s="3"/>
      <c r="D661" s="3"/>
      <c r="E661" s="3"/>
    </row>
    <row r="662" ht="15.75" customHeight="1">
      <c r="A662" s="3"/>
      <c r="B662" s="3"/>
      <c r="C662" s="3"/>
      <c r="D662" s="3"/>
      <c r="E662" s="3"/>
    </row>
    <row r="663" ht="15.75" customHeight="1">
      <c r="A663" s="3"/>
      <c r="B663" s="3"/>
      <c r="C663" s="3"/>
      <c r="D663" s="3"/>
      <c r="E663" s="3"/>
    </row>
    <row r="664" ht="15.75" customHeight="1">
      <c r="A664" s="3"/>
      <c r="B664" s="3"/>
      <c r="C664" s="3"/>
      <c r="D664" s="3"/>
      <c r="E664" s="3"/>
    </row>
    <row r="665" ht="15.75" customHeight="1">
      <c r="A665" s="3"/>
      <c r="B665" s="3"/>
      <c r="C665" s="3"/>
      <c r="D665" s="3"/>
      <c r="E665" s="3"/>
    </row>
    <row r="666" ht="15.75" customHeight="1">
      <c r="A666" s="3"/>
      <c r="B666" s="3"/>
      <c r="C666" s="3"/>
      <c r="D666" s="3"/>
      <c r="E666" s="3"/>
    </row>
    <row r="667" ht="15.75" customHeight="1">
      <c r="A667" s="3"/>
      <c r="B667" s="3"/>
      <c r="C667" s="3"/>
      <c r="D667" s="3"/>
      <c r="E667" s="3"/>
    </row>
    <row r="668" ht="15.75" customHeight="1">
      <c r="A668" s="3"/>
      <c r="B668" s="3"/>
      <c r="C668" s="3"/>
      <c r="D668" s="3"/>
      <c r="E668" s="3"/>
    </row>
    <row r="669" ht="15.75" customHeight="1">
      <c r="A669" s="3"/>
      <c r="B669" s="3"/>
      <c r="C669" s="3"/>
      <c r="D669" s="3"/>
      <c r="E669" s="3"/>
    </row>
    <row r="670" ht="15.75" customHeight="1">
      <c r="A670" s="3"/>
      <c r="B670" s="3"/>
      <c r="C670" s="3"/>
      <c r="D670" s="3"/>
      <c r="E670" s="3"/>
    </row>
    <row r="671" ht="15.75" customHeight="1">
      <c r="A671" s="3"/>
      <c r="B671" s="3"/>
      <c r="C671" s="3"/>
      <c r="D671" s="3"/>
      <c r="E671" s="3"/>
    </row>
    <row r="672" ht="15.75" customHeight="1">
      <c r="A672" s="3"/>
      <c r="B672" s="3"/>
      <c r="C672" s="3"/>
      <c r="D672" s="3"/>
      <c r="E672" s="3"/>
    </row>
    <row r="673" ht="15.75" customHeight="1">
      <c r="A673" s="3"/>
      <c r="B673" s="3"/>
      <c r="C673" s="3"/>
      <c r="D673" s="3"/>
      <c r="E673" s="3"/>
    </row>
    <row r="674" ht="15.75" customHeight="1">
      <c r="A674" s="3"/>
      <c r="B674" s="3"/>
      <c r="C674" s="3"/>
      <c r="D674" s="3"/>
      <c r="E674" s="3"/>
    </row>
    <row r="675" ht="15.75" customHeight="1">
      <c r="A675" s="3"/>
      <c r="B675" s="3"/>
      <c r="C675" s="3"/>
      <c r="D675" s="3"/>
      <c r="E675" s="3"/>
    </row>
    <row r="676" ht="15.75" customHeight="1">
      <c r="A676" s="3"/>
      <c r="B676" s="3"/>
      <c r="C676" s="3"/>
      <c r="D676" s="3"/>
      <c r="E676" s="3"/>
    </row>
    <row r="677" ht="15.75" customHeight="1">
      <c r="A677" s="3"/>
      <c r="B677" s="3"/>
      <c r="C677" s="3"/>
      <c r="D677" s="3"/>
      <c r="E677" s="3"/>
    </row>
    <row r="678" ht="15.75" customHeight="1">
      <c r="A678" s="3"/>
      <c r="B678" s="3"/>
      <c r="C678" s="3"/>
      <c r="D678" s="3"/>
      <c r="E678" s="3"/>
    </row>
    <row r="679" ht="15.75" customHeight="1">
      <c r="A679" s="3"/>
      <c r="B679" s="3"/>
      <c r="C679" s="3"/>
      <c r="D679" s="3"/>
      <c r="E679" s="3"/>
    </row>
    <row r="680" ht="15.75" customHeight="1">
      <c r="A680" s="3"/>
      <c r="B680" s="3"/>
      <c r="C680" s="3"/>
      <c r="D680" s="3"/>
      <c r="E680" s="3"/>
    </row>
    <row r="681" ht="15.75" customHeight="1">
      <c r="A681" s="3"/>
      <c r="B681" s="3"/>
      <c r="C681" s="3"/>
      <c r="D681" s="3"/>
      <c r="E681" s="3"/>
    </row>
    <row r="682" ht="15.75" customHeight="1">
      <c r="A682" s="3"/>
      <c r="B682" s="3"/>
      <c r="C682" s="3"/>
      <c r="D682" s="3"/>
      <c r="E682" s="3"/>
    </row>
    <row r="683" ht="15.75" customHeight="1">
      <c r="A683" s="3"/>
      <c r="B683" s="3"/>
      <c r="C683" s="3"/>
      <c r="D683" s="3"/>
      <c r="E683" s="3"/>
    </row>
    <row r="684" ht="15.75" customHeight="1">
      <c r="A684" s="3"/>
      <c r="B684" s="3"/>
      <c r="C684" s="3"/>
      <c r="D684" s="3"/>
      <c r="E684" s="3"/>
    </row>
    <row r="685" ht="15.75" customHeight="1">
      <c r="A685" s="3"/>
      <c r="B685" s="3"/>
      <c r="C685" s="3"/>
      <c r="D685" s="3"/>
      <c r="E685" s="3"/>
    </row>
    <row r="686" ht="15.75" customHeight="1">
      <c r="A686" s="3"/>
      <c r="B686" s="3"/>
      <c r="C686" s="3"/>
      <c r="D686" s="3"/>
      <c r="E686" s="3"/>
    </row>
    <row r="687" ht="15.75" customHeight="1">
      <c r="A687" s="3"/>
      <c r="B687" s="3"/>
      <c r="C687" s="3"/>
      <c r="D687" s="3"/>
      <c r="E687" s="3"/>
    </row>
    <row r="688" ht="15.75" customHeight="1">
      <c r="A688" s="3"/>
      <c r="B688" s="3"/>
      <c r="C688" s="3"/>
      <c r="D688" s="3"/>
      <c r="E688" s="3"/>
    </row>
    <row r="689" ht="15.75" customHeight="1">
      <c r="A689" s="3"/>
      <c r="B689" s="3"/>
      <c r="C689" s="3"/>
      <c r="D689" s="3"/>
      <c r="E689" s="3"/>
    </row>
    <row r="690" ht="15.75" customHeight="1">
      <c r="A690" s="3"/>
      <c r="B690" s="3"/>
      <c r="C690" s="3"/>
      <c r="D690" s="3"/>
      <c r="E690" s="3"/>
    </row>
    <row r="691" ht="15.75" customHeight="1">
      <c r="A691" s="3"/>
      <c r="B691" s="3"/>
      <c r="C691" s="3"/>
      <c r="D691" s="3"/>
      <c r="E691" s="3"/>
    </row>
    <row r="692" ht="15.75" customHeight="1">
      <c r="A692" s="3"/>
      <c r="B692" s="3"/>
      <c r="C692" s="3"/>
      <c r="D692" s="3"/>
      <c r="E692" s="3"/>
    </row>
    <row r="693" ht="15.75" customHeight="1">
      <c r="A693" s="3"/>
      <c r="B693" s="3"/>
      <c r="C693" s="3"/>
      <c r="D693" s="3"/>
      <c r="E693" s="3"/>
    </row>
    <row r="694" ht="15.75" customHeight="1">
      <c r="A694" s="3"/>
      <c r="B694" s="3"/>
      <c r="C694" s="3"/>
      <c r="D694" s="3"/>
      <c r="E694" s="3"/>
    </row>
    <row r="695" ht="15.75" customHeight="1">
      <c r="A695" s="3"/>
      <c r="B695" s="3"/>
      <c r="C695" s="3"/>
      <c r="D695" s="3"/>
      <c r="E695" s="3"/>
    </row>
    <row r="696" ht="15.75" customHeight="1">
      <c r="A696" s="3"/>
      <c r="B696" s="3"/>
      <c r="C696" s="3"/>
      <c r="D696" s="3"/>
      <c r="E696" s="3"/>
    </row>
    <row r="697" ht="15.75" customHeight="1">
      <c r="A697" s="3"/>
      <c r="B697" s="3"/>
      <c r="C697" s="3"/>
      <c r="D697" s="3"/>
      <c r="E697" s="3"/>
    </row>
    <row r="698" ht="15.75" customHeight="1">
      <c r="A698" s="3"/>
      <c r="B698" s="3"/>
      <c r="C698" s="3"/>
      <c r="D698" s="3"/>
      <c r="E698" s="3"/>
    </row>
    <row r="699" ht="15.75" customHeight="1">
      <c r="A699" s="3"/>
      <c r="B699" s="3"/>
      <c r="C699" s="3"/>
      <c r="D699" s="3"/>
      <c r="E699" s="3"/>
    </row>
    <row r="700" ht="15.75" customHeight="1">
      <c r="A700" s="3"/>
      <c r="B700" s="3"/>
      <c r="C700" s="3"/>
      <c r="D700" s="3"/>
      <c r="E700" s="3"/>
    </row>
    <row r="701" ht="15.75" customHeight="1">
      <c r="A701" s="3"/>
      <c r="B701" s="3"/>
      <c r="C701" s="3"/>
      <c r="D701" s="3"/>
      <c r="E701" s="3"/>
    </row>
    <row r="702" ht="15.75" customHeight="1">
      <c r="A702" s="3"/>
      <c r="B702" s="3"/>
      <c r="C702" s="3"/>
      <c r="D702" s="3"/>
      <c r="E702" s="3"/>
    </row>
    <row r="703" ht="15.75" customHeight="1">
      <c r="A703" s="3"/>
      <c r="B703" s="3"/>
      <c r="C703" s="3"/>
      <c r="D703" s="3"/>
      <c r="E703" s="3"/>
    </row>
    <row r="704" ht="15.75" customHeight="1">
      <c r="A704" s="3"/>
      <c r="B704" s="3"/>
      <c r="C704" s="3"/>
      <c r="D704" s="3"/>
      <c r="E704" s="3"/>
    </row>
    <row r="705" ht="15.75" customHeight="1">
      <c r="A705" s="3"/>
      <c r="B705" s="3"/>
      <c r="C705" s="3"/>
      <c r="D705" s="3"/>
      <c r="E705" s="3"/>
    </row>
    <row r="706" ht="15.75" customHeight="1">
      <c r="A706" s="3"/>
      <c r="B706" s="3"/>
      <c r="C706" s="3"/>
      <c r="D706" s="3"/>
      <c r="E706" s="3"/>
    </row>
    <row r="707" ht="15.75" customHeight="1">
      <c r="A707" s="3"/>
      <c r="B707" s="3"/>
      <c r="C707" s="3"/>
      <c r="D707" s="3"/>
      <c r="E707" s="3"/>
    </row>
    <row r="708" ht="15.75" customHeight="1">
      <c r="A708" s="3"/>
      <c r="B708" s="3"/>
      <c r="C708" s="3"/>
      <c r="D708" s="3"/>
      <c r="E708" s="3"/>
    </row>
    <row r="709" ht="15.75" customHeight="1">
      <c r="A709" s="3"/>
      <c r="B709" s="3"/>
      <c r="C709" s="3"/>
      <c r="D709" s="3"/>
      <c r="E709" s="3"/>
    </row>
    <row r="710" ht="15.75" customHeight="1">
      <c r="A710" s="3"/>
      <c r="B710" s="3"/>
      <c r="C710" s="3"/>
      <c r="D710" s="3"/>
      <c r="E710" s="3"/>
    </row>
    <row r="711" ht="15.75" customHeight="1">
      <c r="A711" s="3"/>
      <c r="B711" s="3"/>
      <c r="C711" s="3"/>
      <c r="D711" s="3"/>
      <c r="E711" s="3"/>
    </row>
    <row r="712" ht="15.75" customHeight="1">
      <c r="A712" s="3"/>
      <c r="B712" s="3"/>
      <c r="C712" s="3"/>
      <c r="D712" s="3"/>
      <c r="E712" s="3"/>
    </row>
    <row r="713" ht="15.75" customHeight="1">
      <c r="A713" s="3"/>
      <c r="B713" s="3"/>
      <c r="C713" s="3"/>
      <c r="D713" s="3"/>
      <c r="E713" s="3"/>
    </row>
    <row r="714" ht="15.75" customHeight="1">
      <c r="A714" s="3"/>
      <c r="B714" s="3"/>
      <c r="C714" s="3"/>
      <c r="D714" s="3"/>
      <c r="E714" s="3"/>
    </row>
    <row r="715" ht="15.75" customHeight="1">
      <c r="A715" s="3"/>
      <c r="B715" s="3"/>
      <c r="C715" s="3"/>
      <c r="D715" s="3"/>
      <c r="E715" s="3"/>
    </row>
    <row r="716" ht="15.75" customHeight="1">
      <c r="A716" s="3"/>
      <c r="B716" s="3"/>
      <c r="C716" s="3"/>
      <c r="D716" s="3"/>
      <c r="E716" s="3"/>
    </row>
    <row r="717" ht="15.75" customHeight="1">
      <c r="A717" s="3"/>
      <c r="B717" s="3"/>
      <c r="C717" s="3"/>
      <c r="D717" s="3"/>
      <c r="E717" s="3"/>
    </row>
    <row r="718" ht="15.75" customHeight="1">
      <c r="A718" s="3"/>
      <c r="B718" s="3"/>
      <c r="C718" s="3"/>
      <c r="D718" s="3"/>
      <c r="E718" s="3"/>
    </row>
    <row r="719" ht="15.75" customHeight="1">
      <c r="A719" s="3"/>
      <c r="B719" s="3"/>
      <c r="C719" s="3"/>
      <c r="D719" s="3"/>
      <c r="E719" s="3"/>
    </row>
    <row r="720" ht="15.75" customHeight="1">
      <c r="A720" s="3"/>
      <c r="B720" s="3"/>
      <c r="C720" s="3"/>
      <c r="D720" s="3"/>
      <c r="E720" s="3"/>
    </row>
    <row r="721" ht="15.75" customHeight="1">
      <c r="A721" s="3"/>
      <c r="B721" s="3"/>
      <c r="C721" s="3"/>
      <c r="D721" s="3"/>
      <c r="E721" s="3"/>
    </row>
    <row r="722" ht="15.75" customHeight="1">
      <c r="A722" s="3"/>
      <c r="B722" s="3"/>
      <c r="C722" s="3"/>
      <c r="D722" s="3"/>
      <c r="E722" s="3"/>
    </row>
    <row r="723" ht="15.75" customHeight="1">
      <c r="A723" s="3"/>
      <c r="B723" s="3"/>
      <c r="C723" s="3"/>
      <c r="D723" s="3"/>
      <c r="E723" s="3"/>
    </row>
    <row r="724" ht="15.75" customHeight="1">
      <c r="A724" s="3"/>
      <c r="B724" s="3"/>
      <c r="C724" s="3"/>
      <c r="D724" s="3"/>
      <c r="E724" s="3"/>
    </row>
    <row r="725" ht="15.75" customHeight="1">
      <c r="A725" s="3"/>
      <c r="B725" s="3"/>
      <c r="C725" s="3"/>
      <c r="D725" s="3"/>
      <c r="E725" s="3"/>
    </row>
    <row r="726" ht="15.75" customHeight="1">
      <c r="A726" s="3"/>
      <c r="B726" s="3"/>
      <c r="C726" s="3"/>
      <c r="D726" s="3"/>
      <c r="E726" s="3"/>
    </row>
    <row r="727" ht="15.75" customHeight="1">
      <c r="A727" s="3"/>
      <c r="B727" s="3"/>
      <c r="C727" s="3"/>
      <c r="D727" s="3"/>
      <c r="E727" s="3"/>
    </row>
    <row r="728" ht="15.75" customHeight="1">
      <c r="A728" s="3"/>
      <c r="B728" s="3"/>
      <c r="C728" s="3"/>
      <c r="D728" s="3"/>
      <c r="E728" s="3"/>
    </row>
    <row r="729" ht="15.75" customHeight="1">
      <c r="A729" s="3"/>
      <c r="B729" s="3"/>
      <c r="C729" s="3"/>
      <c r="D729" s="3"/>
      <c r="E729" s="3"/>
    </row>
    <row r="730" ht="15.75" customHeight="1">
      <c r="A730" s="3"/>
      <c r="B730" s="3"/>
      <c r="C730" s="3"/>
      <c r="D730" s="3"/>
      <c r="E730" s="3"/>
    </row>
    <row r="731" ht="15.75" customHeight="1">
      <c r="A731" s="3"/>
      <c r="B731" s="3"/>
      <c r="C731" s="3"/>
      <c r="D731" s="3"/>
      <c r="E731" s="3"/>
    </row>
    <row r="732" ht="15.75" customHeight="1">
      <c r="A732" s="3"/>
      <c r="B732" s="3"/>
      <c r="C732" s="3"/>
      <c r="D732" s="3"/>
      <c r="E732" s="3"/>
    </row>
    <row r="733" ht="15.75" customHeight="1">
      <c r="A733" s="3"/>
      <c r="B733" s="3"/>
      <c r="C733" s="3"/>
      <c r="D733" s="3"/>
      <c r="E733" s="3"/>
    </row>
    <row r="734" ht="15.75" customHeight="1">
      <c r="A734" s="3"/>
      <c r="B734" s="3"/>
      <c r="C734" s="3"/>
      <c r="D734" s="3"/>
      <c r="E734" s="3"/>
    </row>
    <row r="735" ht="15.75" customHeight="1">
      <c r="A735" s="3"/>
      <c r="B735" s="3"/>
      <c r="C735" s="3"/>
      <c r="D735" s="3"/>
      <c r="E735" s="3"/>
    </row>
    <row r="736" ht="15.75" customHeight="1">
      <c r="A736" s="3"/>
      <c r="B736" s="3"/>
      <c r="C736" s="3"/>
      <c r="D736" s="3"/>
      <c r="E736" s="3"/>
    </row>
    <row r="737" ht="15.75" customHeight="1">
      <c r="A737" s="3"/>
      <c r="B737" s="3"/>
      <c r="C737" s="3"/>
      <c r="D737" s="3"/>
      <c r="E737" s="3"/>
    </row>
    <row r="738" ht="15.75" customHeight="1">
      <c r="A738" s="3"/>
      <c r="B738" s="3"/>
      <c r="C738" s="3"/>
      <c r="D738" s="3"/>
      <c r="E738" s="3"/>
    </row>
    <row r="739" ht="15.75" customHeight="1">
      <c r="A739" s="3"/>
      <c r="B739" s="3"/>
      <c r="C739" s="3"/>
      <c r="D739" s="3"/>
      <c r="E739" s="3"/>
    </row>
    <row r="740" ht="15.75" customHeight="1">
      <c r="A740" s="3"/>
      <c r="B740" s="3"/>
      <c r="C740" s="3"/>
      <c r="D740" s="3"/>
      <c r="E740" s="3"/>
    </row>
    <row r="741" ht="15.75" customHeight="1">
      <c r="A741" s="3"/>
      <c r="B741" s="3"/>
      <c r="C741" s="3"/>
      <c r="D741" s="3"/>
      <c r="E741" s="3"/>
    </row>
    <row r="742" ht="15.75" customHeight="1">
      <c r="A742" s="3"/>
      <c r="B742" s="3"/>
      <c r="C742" s="3"/>
      <c r="D742" s="3"/>
      <c r="E742" s="3"/>
    </row>
    <row r="743" ht="15.75" customHeight="1">
      <c r="A743" s="3"/>
      <c r="B743" s="3"/>
      <c r="C743" s="3"/>
      <c r="D743" s="3"/>
      <c r="E743" s="3"/>
    </row>
    <row r="744" ht="15.75" customHeight="1">
      <c r="A744" s="3"/>
      <c r="B744" s="3"/>
      <c r="C744" s="3"/>
      <c r="D744" s="3"/>
      <c r="E744" s="3"/>
    </row>
    <row r="745" ht="15.75" customHeight="1">
      <c r="A745" s="3"/>
      <c r="B745" s="3"/>
      <c r="C745" s="3"/>
      <c r="D745" s="3"/>
      <c r="E745" s="3"/>
    </row>
    <row r="746" ht="15.75" customHeight="1">
      <c r="A746" s="3"/>
      <c r="B746" s="3"/>
      <c r="C746" s="3"/>
      <c r="D746" s="3"/>
      <c r="E746" s="3"/>
    </row>
    <row r="747" ht="15.75" customHeight="1">
      <c r="A747" s="3"/>
      <c r="B747" s="3"/>
      <c r="C747" s="3"/>
      <c r="D747" s="3"/>
      <c r="E747" s="3"/>
    </row>
    <row r="748" ht="15.75" customHeight="1">
      <c r="A748" s="3"/>
      <c r="B748" s="3"/>
      <c r="C748" s="3"/>
      <c r="D748" s="3"/>
      <c r="E748" s="3"/>
    </row>
    <row r="749" ht="15.75" customHeight="1">
      <c r="A749" s="3"/>
      <c r="B749" s="3"/>
      <c r="C749" s="3"/>
      <c r="D749" s="3"/>
      <c r="E749" s="3"/>
    </row>
    <row r="750" ht="15.75" customHeight="1">
      <c r="A750" s="3"/>
      <c r="B750" s="3"/>
      <c r="C750" s="3"/>
      <c r="D750" s="3"/>
      <c r="E750" s="3"/>
    </row>
    <row r="751" ht="15.75" customHeight="1">
      <c r="A751" s="3"/>
      <c r="B751" s="3"/>
      <c r="C751" s="3"/>
      <c r="D751" s="3"/>
      <c r="E751" s="3"/>
    </row>
    <row r="752" ht="15.75" customHeight="1">
      <c r="A752" s="3"/>
      <c r="B752" s="3"/>
      <c r="C752" s="3"/>
      <c r="D752" s="3"/>
      <c r="E752" s="3"/>
    </row>
    <row r="753" ht="15.75" customHeight="1">
      <c r="A753" s="3"/>
      <c r="B753" s="3"/>
      <c r="C753" s="3"/>
      <c r="D753" s="3"/>
      <c r="E753" s="3"/>
    </row>
    <row r="754" ht="15.75" customHeight="1">
      <c r="A754" s="3"/>
      <c r="B754" s="3"/>
      <c r="C754" s="3"/>
      <c r="D754" s="3"/>
      <c r="E754" s="3"/>
    </row>
    <row r="755" ht="15.75" customHeight="1">
      <c r="A755" s="3"/>
      <c r="B755" s="3"/>
      <c r="C755" s="3"/>
      <c r="D755" s="3"/>
      <c r="E755" s="3"/>
    </row>
    <row r="756" ht="15.75" customHeight="1">
      <c r="A756" s="3"/>
      <c r="B756" s="3"/>
      <c r="C756" s="3"/>
      <c r="D756" s="3"/>
      <c r="E756" s="3"/>
    </row>
    <row r="757" ht="15.75" customHeight="1">
      <c r="A757" s="3"/>
      <c r="B757" s="3"/>
      <c r="C757" s="3"/>
      <c r="D757" s="3"/>
      <c r="E757" s="3"/>
    </row>
    <row r="758" ht="15.75" customHeight="1">
      <c r="A758" s="3"/>
      <c r="B758" s="3"/>
      <c r="C758" s="3"/>
      <c r="D758" s="3"/>
      <c r="E758" s="3"/>
    </row>
    <row r="759" ht="15.75" customHeight="1">
      <c r="A759" s="3"/>
      <c r="B759" s="3"/>
      <c r="C759" s="3"/>
      <c r="D759" s="3"/>
      <c r="E759" s="3"/>
    </row>
    <row r="760" ht="15.75" customHeight="1">
      <c r="A760" s="3"/>
      <c r="B760" s="3"/>
      <c r="C760" s="3"/>
      <c r="D760" s="3"/>
      <c r="E760" s="3"/>
    </row>
    <row r="761" ht="15.75" customHeight="1">
      <c r="A761" s="3"/>
      <c r="B761" s="3"/>
      <c r="C761" s="3"/>
      <c r="D761" s="3"/>
      <c r="E761" s="3"/>
    </row>
    <row r="762" ht="15.75" customHeight="1">
      <c r="A762" s="3"/>
      <c r="B762" s="3"/>
      <c r="C762" s="3"/>
      <c r="D762" s="3"/>
      <c r="E762" s="3"/>
    </row>
    <row r="763" ht="15.75" customHeight="1">
      <c r="A763" s="3"/>
      <c r="B763" s="3"/>
      <c r="C763" s="3"/>
      <c r="D763" s="3"/>
      <c r="E763" s="3"/>
    </row>
    <row r="764" ht="15.75" customHeight="1">
      <c r="A764" s="3"/>
      <c r="B764" s="3"/>
      <c r="C764" s="3"/>
      <c r="D764" s="3"/>
      <c r="E764" s="3"/>
    </row>
    <row r="765" ht="15.75" customHeight="1">
      <c r="A765" s="3"/>
      <c r="B765" s="3"/>
      <c r="C765" s="3"/>
      <c r="D765" s="3"/>
      <c r="E765" s="3"/>
    </row>
    <row r="766" ht="15.75" customHeight="1">
      <c r="A766" s="3"/>
      <c r="B766" s="3"/>
      <c r="C766" s="3"/>
      <c r="D766" s="3"/>
      <c r="E766" s="3"/>
    </row>
    <row r="767" ht="15.75" customHeight="1">
      <c r="A767" s="3"/>
      <c r="B767" s="3"/>
      <c r="C767" s="3"/>
      <c r="D767" s="3"/>
      <c r="E767" s="3"/>
    </row>
    <row r="768" ht="15.75" customHeight="1">
      <c r="A768" s="3"/>
      <c r="B768" s="3"/>
      <c r="C768" s="3"/>
      <c r="D768" s="3"/>
      <c r="E768" s="3"/>
    </row>
    <row r="769" ht="15.75" customHeight="1">
      <c r="A769" s="3"/>
      <c r="B769" s="3"/>
      <c r="C769" s="3"/>
      <c r="D769" s="3"/>
      <c r="E769" s="3"/>
    </row>
    <row r="770" ht="15.75" customHeight="1">
      <c r="A770" s="3"/>
      <c r="B770" s="3"/>
      <c r="C770" s="3"/>
      <c r="D770" s="3"/>
      <c r="E770" s="3"/>
    </row>
    <row r="771" ht="15.75" customHeight="1">
      <c r="A771" s="3"/>
      <c r="B771" s="3"/>
      <c r="C771" s="3"/>
      <c r="D771" s="3"/>
      <c r="E771" s="3"/>
    </row>
    <row r="772" ht="15.75" customHeight="1">
      <c r="A772" s="3"/>
      <c r="B772" s="3"/>
      <c r="C772" s="3"/>
      <c r="D772" s="3"/>
      <c r="E772" s="3"/>
    </row>
    <row r="773" ht="15.75" customHeight="1">
      <c r="A773" s="3"/>
      <c r="B773" s="3"/>
      <c r="C773" s="3"/>
      <c r="D773" s="3"/>
      <c r="E773" s="3"/>
    </row>
    <row r="774" ht="15.75" customHeight="1">
      <c r="A774" s="3"/>
      <c r="B774" s="3"/>
      <c r="C774" s="3"/>
      <c r="D774" s="3"/>
      <c r="E774" s="3"/>
    </row>
    <row r="775" ht="15.75" customHeight="1">
      <c r="A775" s="3"/>
      <c r="B775" s="3"/>
      <c r="C775" s="3"/>
      <c r="D775" s="3"/>
      <c r="E775" s="3"/>
    </row>
    <row r="776" ht="15.75" customHeight="1">
      <c r="A776" s="3"/>
      <c r="B776" s="3"/>
      <c r="C776" s="3"/>
      <c r="D776" s="3"/>
      <c r="E776" s="3"/>
    </row>
    <row r="777" ht="15.75" customHeight="1">
      <c r="A777" s="3"/>
      <c r="B777" s="3"/>
      <c r="C777" s="3"/>
      <c r="D777" s="3"/>
      <c r="E777" s="3"/>
    </row>
    <row r="778" ht="15.75" customHeight="1">
      <c r="A778" s="3"/>
      <c r="B778" s="3"/>
      <c r="C778" s="3"/>
      <c r="D778" s="3"/>
      <c r="E778" s="3"/>
    </row>
    <row r="779" ht="15.75" customHeight="1">
      <c r="A779" s="3"/>
      <c r="B779" s="3"/>
      <c r="C779" s="3"/>
      <c r="D779" s="3"/>
      <c r="E779" s="3"/>
    </row>
    <row r="780" ht="15.75" customHeight="1">
      <c r="A780" s="3"/>
      <c r="B780" s="3"/>
      <c r="C780" s="3"/>
      <c r="D780" s="3"/>
      <c r="E780" s="3"/>
    </row>
    <row r="781" ht="15.75" customHeight="1">
      <c r="A781" s="3"/>
      <c r="B781" s="3"/>
      <c r="C781" s="3"/>
      <c r="D781" s="3"/>
      <c r="E781" s="3"/>
    </row>
    <row r="782" ht="15.75" customHeight="1">
      <c r="A782" s="3"/>
      <c r="B782" s="3"/>
      <c r="C782" s="3"/>
      <c r="D782" s="3"/>
      <c r="E782" s="3"/>
    </row>
    <row r="783" ht="15.75" customHeight="1">
      <c r="A783" s="3"/>
      <c r="B783" s="3"/>
      <c r="C783" s="3"/>
      <c r="D783" s="3"/>
      <c r="E783" s="3"/>
    </row>
    <row r="784" ht="15.75" customHeight="1">
      <c r="A784" s="3"/>
      <c r="B784" s="3"/>
      <c r="C784" s="3"/>
      <c r="D784" s="3"/>
      <c r="E784" s="3"/>
    </row>
    <row r="785" ht="15.75" customHeight="1">
      <c r="A785" s="3"/>
      <c r="B785" s="3"/>
      <c r="C785" s="3"/>
      <c r="D785" s="3"/>
      <c r="E785" s="3"/>
    </row>
    <row r="786" ht="15.75" customHeight="1">
      <c r="A786" s="3"/>
      <c r="B786" s="3"/>
      <c r="C786" s="3"/>
      <c r="D786" s="3"/>
      <c r="E786" s="3"/>
    </row>
    <row r="787" ht="15.75" customHeight="1">
      <c r="A787" s="3"/>
      <c r="B787" s="3"/>
      <c r="C787" s="3"/>
      <c r="D787" s="3"/>
      <c r="E787" s="3"/>
    </row>
    <row r="788" ht="15.75" customHeight="1">
      <c r="A788" s="3"/>
      <c r="B788" s="3"/>
      <c r="C788" s="3"/>
      <c r="D788" s="3"/>
      <c r="E788" s="3"/>
    </row>
    <row r="789" ht="15.75" customHeight="1">
      <c r="A789" s="3"/>
      <c r="B789" s="3"/>
      <c r="C789" s="3"/>
      <c r="D789" s="3"/>
      <c r="E789" s="3"/>
    </row>
    <row r="790" ht="15.75" customHeight="1">
      <c r="A790" s="3"/>
      <c r="B790" s="3"/>
      <c r="C790" s="3"/>
      <c r="D790" s="3"/>
      <c r="E790" s="3"/>
    </row>
    <row r="791" ht="15.75" customHeight="1">
      <c r="A791" s="3"/>
      <c r="B791" s="3"/>
      <c r="C791" s="3"/>
      <c r="D791" s="3"/>
      <c r="E791" s="3"/>
    </row>
    <row r="792" ht="15.75" customHeight="1">
      <c r="A792" s="3"/>
      <c r="B792" s="3"/>
      <c r="C792" s="3"/>
      <c r="D792" s="3"/>
      <c r="E792" s="3"/>
    </row>
    <row r="793" ht="15.75" customHeight="1">
      <c r="A793" s="3"/>
      <c r="B793" s="3"/>
      <c r="C793" s="3"/>
      <c r="D793" s="3"/>
      <c r="E793" s="3"/>
    </row>
    <row r="794" ht="15.75" customHeight="1">
      <c r="A794" s="3"/>
      <c r="B794" s="3"/>
      <c r="C794" s="3"/>
      <c r="D794" s="3"/>
      <c r="E794" s="3"/>
    </row>
    <row r="795" ht="15.75" customHeight="1">
      <c r="A795" s="3"/>
      <c r="B795" s="3"/>
      <c r="C795" s="3"/>
      <c r="D795" s="3"/>
      <c r="E795" s="3"/>
    </row>
    <row r="796" ht="15.75" customHeight="1">
      <c r="A796" s="3"/>
      <c r="B796" s="3"/>
      <c r="C796" s="3"/>
      <c r="D796" s="3"/>
      <c r="E796" s="3"/>
    </row>
    <row r="797" ht="15.75" customHeight="1">
      <c r="A797" s="3"/>
      <c r="B797" s="3"/>
      <c r="C797" s="3"/>
      <c r="D797" s="3"/>
      <c r="E797" s="3"/>
    </row>
    <row r="798" ht="15.75" customHeight="1">
      <c r="A798" s="3"/>
      <c r="B798" s="3"/>
      <c r="C798" s="3"/>
      <c r="D798" s="3"/>
      <c r="E798" s="3"/>
    </row>
    <row r="799" ht="15.75" customHeight="1">
      <c r="A799" s="3"/>
      <c r="B799" s="3"/>
      <c r="C799" s="3"/>
      <c r="D799" s="3"/>
      <c r="E799" s="3"/>
    </row>
    <row r="800" ht="15.75" customHeight="1">
      <c r="A800" s="3"/>
      <c r="B800" s="3"/>
      <c r="C800" s="3"/>
      <c r="D800" s="3"/>
      <c r="E800" s="3"/>
    </row>
    <row r="801" ht="15.75" customHeight="1">
      <c r="A801" s="3"/>
      <c r="B801" s="3"/>
      <c r="C801" s="3"/>
      <c r="D801" s="3"/>
      <c r="E801" s="3"/>
    </row>
    <row r="802" ht="15.75" customHeight="1">
      <c r="A802" s="3"/>
      <c r="B802" s="3"/>
      <c r="C802" s="3"/>
      <c r="D802" s="3"/>
      <c r="E802" s="3"/>
    </row>
    <row r="803" ht="15.75" customHeight="1">
      <c r="A803" s="3"/>
      <c r="B803" s="3"/>
      <c r="C803" s="3"/>
      <c r="D803" s="3"/>
      <c r="E803" s="3"/>
    </row>
    <row r="804" ht="15.75" customHeight="1">
      <c r="A804" s="3"/>
      <c r="B804" s="3"/>
      <c r="C804" s="3"/>
      <c r="D804" s="3"/>
      <c r="E804" s="3"/>
    </row>
    <row r="805" ht="15.75" customHeight="1">
      <c r="A805" s="3"/>
      <c r="B805" s="3"/>
      <c r="C805" s="3"/>
      <c r="D805" s="3"/>
      <c r="E805" s="3"/>
    </row>
    <row r="806" ht="15.75" customHeight="1">
      <c r="A806" s="3"/>
      <c r="B806" s="3"/>
      <c r="C806" s="3"/>
      <c r="D806" s="3"/>
      <c r="E806" s="3"/>
    </row>
    <row r="807" ht="15.75" customHeight="1">
      <c r="A807" s="3"/>
      <c r="B807" s="3"/>
      <c r="C807" s="3"/>
      <c r="D807" s="3"/>
      <c r="E807" s="3"/>
    </row>
    <row r="808" ht="15.75" customHeight="1">
      <c r="A808" s="3"/>
      <c r="B808" s="3"/>
      <c r="C808" s="3"/>
      <c r="D808" s="3"/>
      <c r="E808" s="3"/>
    </row>
    <row r="809" ht="15.75" customHeight="1">
      <c r="A809" s="3"/>
      <c r="B809" s="3"/>
      <c r="C809" s="3"/>
      <c r="D809" s="3"/>
      <c r="E809" s="3"/>
    </row>
    <row r="810" ht="15.75" customHeight="1">
      <c r="A810" s="3"/>
      <c r="B810" s="3"/>
      <c r="C810" s="3"/>
      <c r="D810" s="3"/>
      <c r="E810" s="3"/>
    </row>
    <row r="811" ht="15.75" customHeight="1">
      <c r="A811" s="3"/>
      <c r="B811" s="3"/>
      <c r="C811" s="3"/>
      <c r="D811" s="3"/>
      <c r="E811" s="3"/>
    </row>
    <row r="812" ht="15.75" customHeight="1">
      <c r="A812" s="3"/>
      <c r="B812" s="3"/>
      <c r="C812" s="3"/>
      <c r="D812" s="3"/>
      <c r="E812" s="3"/>
    </row>
    <row r="813" ht="15.75" customHeight="1">
      <c r="A813" s="3"/>
      <c r="B813" s="3"/>
      <c r="C813" s="3"/>
      <c r="D813" s="3"/>
      <c r="E813" s="3"/>
    </row>
    <row r="814" ht="15.75" customHeight="1">
      <c r="A814" s="3"/>
      <c r="B814" s="3"/>
      <c r="C814" s="3"/>
      <c r="D814" s="3"/>
      <c r="E814" s="3"/>
    </row>
    <row r="815" ht="15.75" customHeight="1">
      <c r="A815" s="3"/>
      <c r="B815" s="3"/>
      <c r="C815" s="3"/>
      <c r="D815" s="3"/>
      <c r="E815" s="3"/>
    </row>
    <row r="816" ht="15.75" customHeight="1">
      <c r="A816" s="3"/>
      <c r="B816" s="3"/>
      <c r="C816" s="3"/>
      <c r="D816" s="3"/>
      <c r="E816" s="3"/>
    </row>
    <row r="817" ht="15.75" customHeight="1">
      <c r="A817" s="3"/>
      <c r="B817" s="3"/>
      <c r="C817" s="3"/>
      <c r="D817" s="3"/>
      <c r="E817" s="3"/>
    </row>
    <row r="818" ht="15.75" customHeight="1">
      <c r="A818" s="3"/>
      <c r="B818" s="3"/>
      <c r="C818" s="3"/>
      <c r="D818" s="3"/>
      <c r="E818" s="3"/>
    </row>
    <row r="819" ht="15.75" customHeight="1">
      <c r="A819" s="3"/>
      <c r="B819" s="3"/>
      <c r="C819" s="3"/>
      <c r="D819" s="3"/>
      <c r="E819" s="3"/>
    </row>
    <row r="820" ht="15.75" customHeight="1">
      <c r="A820" s="3"/>
      <c r="B820" s="3"/>
      <c r="C820" s="3"/>
      <c r="D820" s="3"/>
      <c r="E820" s="3"/>
    </row>
    <row r="821" ht="15.75" customHeight="1">
      <c r="A821" s="3"/>
      <c r="B821" s="3"/>
      <c r="C821" s="3"/>
      <c r="D821" s="3"/>
      <c r="E821" s="3"/>
    </row>
    <row r="822" ht="15.75" customHeight="1">
      <c r="A822" s="3"/>
      <c r="B822" s="3"/>
      <c r="C822" s="3"/>
      <c r="D822" s="3"/>
      <c r="E822" s="3"/>
    </row>
    <row r="823" ht="15.75" customHeight="1">
      <c r="A823" s="3"/>
      <c r="B823" s="3"/>
      <c r="C823" s="3"/>
      <c r="D823" s="3"/>
      <c r="E823" s="3"/>
    </row>
    <row r="824" ht="15.75" customHeight="1">
      <c r="A824" s="3"/>
      <c r="B824" s="3"/>
      <c r="C824" s="3"/>
      <c r="D824" s="3"/>
      <c r="E824" s="3"/>
    </row>
    <row r="825" ht="15.75" customHeight="1">
      <c r="A825" s="3"/>
      <c r="B825" s="3"/>
      <c r="C825" s="3"/>
      <c r="D825" s="3"/>
      <c r="E825" s="3"/>
    </row>
    <row r="826" ht="15.75" customHeight="1">
      <c r="A826" s="3"/>
      <c r="B826" s="3"/>
      <c r="C826" s="3"/>
      <c r="D826" s="3"/>
      <c r="E826" s="3"/>
    </row>
    <row r="827" ht="15.75" customHeight="1">
      <c r="A827" s="3"/>
      <c r="B827" s="3"/>
      <c r="C827" s="3"/>
      <c r="D827" s="3"/>
      <c r="E827" s="3"/>
    </row>
    <row r="828" ht="15.75" customHeight="1">
      <c r="A828" s="3"/>
      <c r="B828" s="3"/>
      <c r="C828" s="3"/>
      <c r="D828" s="3"/>
      <c r="E828" s="3"/>
    </row>
    <row r="829" ht="15.75" customHeight="1">
      <c r="A829" s="3"/>
      <c r="B829" s="3"/>
      <c r="C829" s="3"/>
      <c r="D829" s="3"/>
      <c r="E829" s="3"/>
    </row>
    <row r="830" ht="15.75" customHeight="1">
      <c r="A830" s="3"/>
      <c r="B830" s="3"/>
      <c r="C830" s="3"/>
      <c r="D830" s="3"/>
      <c r="E830" s="3"/>
    </row>
    <row r="831" ht="15.75" customHeight="1">
      <c r="A831" s="3"/>
      <c r="B831" s="3"/>
      <c r="C831" s="3"/>
      <c r="D831" s="3"/>
      <c r="E831" s="3"/>
    </row>
    <row r="832" ht="15.75" customHeight="1">
      <c r="A832" s="3"/>
      <c r="B832" s="3"/>
      <c r="C832" s="3"/>
      <c r="D832" s="3"/>
      <c r="E832" s="3"/>
    </row>
    <row r="833" ht="15.75" customHeight="1">
      <c r="A833" s="3"/>
      <c r="B833" s="3"/>
      <c r="C833" s="3"/>
      <c r="D833" s="3"/>
      <c r="E833" s="3"/>
    </row>
    <row r="834" ht="15.75" customHeight="1">
      <c r="A834" s="3"/>
      <c r="B834" s="3"/>
      <c r="C834" s="3"/>
      <c r="D834" s="3"/>
      <c r="E834" s="3"/>
    </row>
    <row r="835" ht="15.75" customHeight="1">
      <c r="A835" s="3"/>
      <c r="B835" s="3"/>
      <c r="C835" s="3"/>
      <c r="D835" s="3"/>
      <c r="E835" s="3"/>
    </row>
    <row r="836" ht="15.75" customHeight="1">
      <c r="A836" s="3"/>
      <c r="B836" s="3"/>
      <c r="C836" s="3"/>
      <c r="D836" s="3"/>
      <c r="E836" s="3"/>
    </row>
    <row r="837" ht="15.75" customHeight="1">
      <c r="A837" s="3"/>
      <c r="B837" s="3"/>
      <c r="C837" s="3"/>
      <c r="D837" s="3"/>
      <c r="E837" s="3"/>
    </row>
    <row r="838" ht="15.75" customHeight="1">
      <c r="A838" s="3"/>
      <c r="B838" s="3"/>
      <c r="C838" s="3"/>
      <c r="D838" s="3"/>
      <c r="E838" s="3"/>
    </row>
    <row r="839" ht="15.75" customHeight="1">
      <c r="A839" s="3"/>
      <c r="B839" s="3"/>
      <c r="C839" s="3"/>
      <c r="D839" s="3"/>
      <c r="E839" s="3"/>
    </row>
    <row r="840" ht="15.75" customHeight="1">
      <c r="A840" s="3"/>
      <c r="B840" s="3"/>
      <c r="C840" s="3"/>
      <c r="D840" s="3"/>
      <c r="E840" s="3"/>
    </row>
    <row r="841" ht="15.75" customHeight="1">
      <c r="A841" s="3"/>
      <c r="B841" s="3"/>
      <c r="C841" s="3"/>
      <c r="D841" s="3"/>
      <c r="E841" s="3"/>
    </row>
    <row r="842" ht="15.75" customHeight="1">
      <c r="A842" s="3"/>
      <c r="B842" s="3"/>
      <c r="C842" s="3"/>
      <c r="D842" s="3"/>
      <c r="E842" s="3"/>
    </row>
    <row r="843" ht="15.75" customHeight="1">
      <c r="A843" s="3"/>
      <c r="B843" s="3"/>
      <c r="C843" s="3"/>
      <c r="D843" s="3"/>
      <c r="E843" s="3"/>
    </row>
    <row r="844" ht="15.75" customHeight="1">
      <c r="A844" s="3"/>
      <c r="B844" s="3"/>
      <c r="C844" s="3"/>
      <c r="D844" s="3"/>
      <c r="E844" s="3"/>
    </row>
    <row r="845" ht="15.75" customHeight="1">
      <c r="A845" s="3"/>
      <c r="B845" s="3"/>
      <c r="C845" s="3"/>
      <c r="D845" s="3"/>
      <c r="E845" s="3"/>
    </row>
    <row r="846" ht="15.75" customHeight="1">
      <c r="A846" s="3"/>
      <c r="B846" s="3"/>
      <c r="C846" s="3"/>
      <c r="D846" s="3"/>
      <c r="E846" s="3"/>
    </row>
    <row r="847" ht="15.75" customHeight="1">
      <c r="A847" s="3"/>
      <c r="B847" s="3"/>
      <c r="C847" s="3"/>
      <c r="D847" s="3"/>
      <c r="E847" s="3"/>
    </row>
    <row r="848" ht="15.75" customHeight="1">
      <c r="A848" s="3"/>
      <c r="B848" s="3"/>
      <c r="C848" s="3"/>
      <c r="D848" s="3"/>
      <c r="E848" s="3"/>
    </row>
    <row r="849" ht="15.75" customHeight="1">
      <c r="A849" s="3"/>
      <c r="B849" s="3"/>
      <c r="C849" s="3"/>
      <c r="D849" s="3"/>
      <c r="E849" s="3"/>
    </row>
    <row r="850" ht="15.75" customHeight="1">
      <c r="A850" s="3"/>
      <c r="B850" s="3"/>
      <c r="C850" s="3"/>
      <c r="D850" s="3"/>
      <c r="E850" s="3"/>
    </row>
    <row r="851" ht="15.75" customHeight="1">
      <c r="A851" s="3"/>
      <c r="B851" s="3"/>
      <c r="C851" s="3"/>
      <c r="D851" s="3"/>
      <c r="E851" s="3"/>
    </row>
    <row r="852" ht="15.75" customHeight="1">
      <c r="A852" s="3"/>
      <c r="B852" s="3"/>
      <c r="C852" s="3"/>
      <c r="D852" s="3"/>
      <c r="E852" s="3"/>
    </row>
    <row r="853" ht="15.75" customHeight="1">
      <c r="A853" s="3"/>
      <c r="B853" s="3"/>
      <c r="C853" s="3"/>
      <c r="D853" s="3"/>
      <c r="E853" s="3"/>
    </row>
    <row r="854" ht="15.75" customHeight="1">
      <c r="A854" s="3"/>
      <c r="B854" s="3"/>
      <c r="C854" s="3"/>
      <c r="D854" s="3"/>
      <c r="E854" s="3"/>
    </row>
    <row r="855" ht="15.75" customHeight="1">
      <c r="A855" s="3"/>
      <c r="B855" s="3"/>
      <c r="C855" s="3"/>
      <c r="D855" s="3"/>
      <c r="E855" s="3"/>
    </row>
    <row r="856" ht="15.75" customHeight="1">
      <c r="A856" s="3"/>
      <c r="B856" s="3"/>
      <c r="C856" s="3"/>
      <c r="D856" s="3"/>
      <c r="E856" s="3"/>
    </row>
    <row r="857" ht="15.75" customHeight="1">
      <c r="A857" s="3"/>
      <c r="B857" s="3"/>
      <c r="C857" s="3"/>
      <c r="D857" s="3"/>
      <c r="E857" s="3"/>
    </row>
    <row r="858" ht="15.75" customHeight="1">
      <c r="A858" s="3"/>
      <c r="B858" s="3"/>
      <c r="C858" s="3"/>
      <c r="D858" s="3"/>
      <c r="E858" s="3"/>
    </row>
    <row r="859" ht="15.75" customHeight="1">
      <c r="A859" s="3"/>
      <c r="B859" s="3"/>
      <c r="C859" s="3"/>
      <c r="D859" s="3"/>
      <c r="E859" s="3"/>
    </row>
    <row r="860" ht="15.75" customHeight="1">
      <c r="A860" s="3"/>
      <c r="B860" s="3"/>
      <c r="C860" s="3"/>
      <c r="D860" s="3"/>
      <c r="E860" s="3"/>
    </row>
    <row r="861" ht="15.75" customHeight="1">
      <c r="A861" s="3"/>
      <c r="B861" s="3"/>
      <c r="C861" s="3"/>
      <c r="D861" s="3"/>
      <c r="E861" s="3"/>
    </row>
    <row r="862" ht="15.75" customHeight="1">
      <c r="A862" s="3"/>
      <c r="B862" s="3"/>
      <c r="C862" s="3"/>
      <c r="D862" s="3"/>
      <c r="E862" s="3"/>
    </row>
    <row r="863" ht="15.75" customHeight="1">
      <c r="A863" s="3"/>
      <c r="B863" s="3"/>
      <c r="C863" s="3"/>
      <c r="D863" s="3"/>
      <c r="E863" s="3"/>
    </row>
    <row r="864" ht="15.75" customHeight="1">
      <c r="A864" s="3"/>
      <c r="B864" s="3"/>
      <c r="C864" s="3"/>
      <c r="D864" s="3"/>
      <c r="E864" s="3"/>
    </row>
    <row r="865" ht="15.75" customHeight="1">
      <c r="A865" s="3"/>
      <c r="B865" s="3"/>
      <c r="C865" s="3"/>
      <c r="D865" s="3"/>
      <c r="E865" s="3"/>
    </row>
    <row r="866" ht="15.75" customHeight="1">
      <c r="A866" s="3"/>
      <c r="B866" s="3"/>
      <c r="C866" s="3"/>
      <c r="D866" s="3"/>
      <c r="E866" s="3"/>
    </row>
    <row r="867" ht="15.75" customHeight="1">
      <c r="A867" s="3"/>
      <c r="B867" s="3"/>
      <c r="C867" s="3"/>
      <c r="D867" s="3"/>
      <c r="E867" s="3"/>
    </row>
    <row r="868" ht="15.75" customHeight="1">
      <c r="A868" s="3"/>
      <c r="B868" s="3"/>
      <c r="C868" s="3"/>
      <c r="D868" s="3"/>
      <c r="E868" s="3"/>
    </row>
    <row r="869" ht="15.75" customHeight="1">
      <c r="A869" s="3"/>
      <c r="B869" s="3"/>
      <c r="C869" s="3"/>
      <c r="D869" s="3"/>
      <c r="E869" s="3"/>
    </row>
    <row r="870" ht="15.75" customHeight="1">
      <c r="A870" s="3"/>
      <c r="B870" s="3"/>
      <c r="C870" s="3"/>
      <c r="D870" s="3"/>
      <c r="E870" s="3"/>
    </row>
    <row r="871" ht="15.75" customHeight="1">
      <c r="A871" s="3"/>
      <c r="B871" s="3"/>
      <c r="C871" s="3"/>
      <c r="D871" s="3"/>
      <c r="E871" s="3"/>
    </row>
    <row r="872" ht="15.75" customHeight="1">
      <c r="A872" s="3"/>
      <c r="B872" s="3"/>
      <c r="C872" s="3"/>
      <c r="D872" s="3"/>
      <c r="E872" s="3"/>
    </row>
    <row r="873" ht="15.75" customHeight="1">
      <c r="A873" s="3"/>
      <c r="B873" s="3"/>
      <c r="C873" s="3"/>
      <c r="D873" s="3"/>
      <c r="E873" s="3"/>
    </row>
    <row r="874" ht="15.75" customHeight="1">
      <c r="A874" s="3"/>
      <c r="B874" s="3"/>
      <c r="C874" s="3"/>
      <c r="D874" s="3"/>
      <c r="E874" s="3"/>
    </row>
    <row r="875" ht="15.75" customHeight="1">
      <c r="A875" s="3"/>
      <c r="B875" s="3"/>
      <c r="C875" s="3"/>
      <c r="D875" s="3"/>
      <c r="E875" s="3"/>
    </row>
    <row r="876" ht="15.75" customHeight="1">
      <c r="A876" s="3"/>
      <c r="B876" s="3"/>
      <c r="C876" s="3"/>
      <c r="D876" s="3"/>
      <c r="E876" s="3"/>
    </row>
    <row r="877" ht="15.75" customHeight="1">
      <c r="A877" s="3"/>
      <c r="B877" s="3"/>
      <c r="C877" s="3"/>
      <c r="D877" s="3"/>
      <c r="E877" s="3"/>
    </row>
    <row r="878" ht="15.75" customHeight="1">
      <c r="A878" s="3"/>
      <c r="B878" s="3"/>
      <c r="C878" s="3"/>
      <c r="D878" s="3"/>
      <c r="E878" s="3"/>
    </row>
    <row r="879" ht="15.75" customHeight="1">
      <c r="A879" s="3"/>
      <c r="B879" s="3"/>
      <c r="C879" s="3"/>
      <c r="D879" s="3"/>
      <c r="E879" s="3"/>
    </row>
    <row r="880" ht="15.75" customHeight="1">
      <c r="A880" s="3"/>
      <c r="B880" s="3"/>
      <c r="C880" s="3"/>
      <c r="D880" s="3"/>
      <c r="E880" s="3"/>
    </row>
    <row r="881" ht="15.75" customHeight="1">
      <c r="A881" s="3"/>
      <c r="B881" s="3"/>
      <c r="C881" s="3"/>
      <c r="D881" s="3"/>
      <c r="E881" s="3"/>
    </row>
    <row r="882" ht="15.75" customHeight="1">
      <c r="A882" s="3"/>
      <c r="B882" s="3"/>
      <c r="C882" s="3"/>
      <c r="D882" s="3"/>
      <c r="E882" s="3"/>
    </row>
    <row r="883" ht="15.75" customHeight="1">
      <c r="A883" s="3"/>
      <c r="B883" s="3"/>
      <c r="C883" s="3"/>
      <c r="D883" s="3"/>
      <c r="E883" s="3"/>
    </row>
    <row r="884" ht="15.75" customHeight="1">
      <c r="A884" s="3"/>
      <c r="B884" s="3"/>
      <c r="C884" s="3"/>
      <c r="D884" s="3"/>
      <c r="E884" s="3"/>
    </row>
    <row r="885" ht="15.75" customHeight="1">
      <c r="A885" s="3"/>
      <c r="B885" s="3"/>
      <c r="C885" s="3"/>
      <c r="D885" s="3"/>
      <c r="E885" s="3"/>
    </row>
    <row r="886" ht="15.75" customHeight="1">
      <c r="A886" s="3"/>
      <c r="B886" s="3"/>
      <c r="C886" s="3"/>
      <c r="D886" s="3"/>
      <c r="E886" s="3"/>
    </row>
    <row r="887" ht="15.75" customHeight="1">
      <c r="A887" s="3"/>
      <c r="B887" s="3"/>
      <c r="C887" s="3"/>
      <c r="D887" s="3"/>
      <c r="E887" s="3"/>
    </row>
    <row r="888" ht="15.75" customHeight="1">
      <c r="A888" s="3"/>
      <c r="B888" s="3"/>
      <c r="C888" s="3"/>
      <c r="D888" s="3"/>
      <c r="E888" s="3"/>
    </row>
    <row r="889" ht="15.75" customHeight="1">
      <c r="A889" s="3"/>
      <c r="B889" s="3"/>
      <c r="C889" s="3"/>
      <c r="D889" s="3"/>
      <c r="E889" s="3"/>
    </row>
    <row r="890" ht="15.75" customHeight="1">
      <c r="A890" s="3"/>
      <c r="B890" s="3"/>
      <c r="C890" s="3"/>
      <c r="D890" s="3"/>
      <c r="E890" s="3"/>
    </row>
    <row r="891" ht="15.75" customHeight="1">
      <c r="A891" s="3"/>
      <c r="B891" s="3"/>
      <c r="C891" s="3"/>
      <c r="D891" s="3"/>
      <c r="E891" s="3"/>
    </row>
    <row r="892" ht="15.75" customHeight="1">
      <c r="A892" s="3"/>
      <c r="B892" s="3"/>
      <c r="C892" s="3"/>
      <c r="D892" s="3"/>
      <c r="E892" s="3"/>
    </row>
    <row r="893" ht="15.75" customHeight="1">
      <c r="A893" s="3"/>
      <c r="B893" s="3"/>
      <c r="C893" s="3"/>
      <c r="D893" s="3"/>
      <c r="E893" s="3"/>
    </row>
    <row r="894" ht="15.75" customHeight="1">
      <c r="A894" s="3"/>
      <c r="B894" s="3"/>
      <c r="C894" s="3"/>
      <c r="D894" s="3"/>
      <c r="E894" s="3"/>
    </row>
    <row r="895" ht="15.75" customHeight="1">
      <c r="A895" s="3"/>
      <c r="B895" s="3"/>
      <c r="C895" s="3"/>
      <c r="D895" s="3"/>
      <c r="E895" s="3"/>
    </row>
    <row r="896" ht="15.75" customHeight="1">
      <c r="A896" s="3"/>
      <c r="B896" s="3"/>
      <c r="C896" s="3"/>
      <c r="D896" s="3"/>
      <c r="E896" s="3"/>
    </row>
    <row r="897" ht="15.75" customHeight="1">
      <c r="A897" s="3"/>
      <c r="B897" s="3"/>
      <c r="C897" s="3"/>
      <c r="D897" s="3"/>
      <c r="E897" s="3"/>
    </row>
    <row r="898" ht="15.75" customHeight="1">
      <c r="A898" s="3"/>
      <c r="B898" s="3"/>
      <c r="C898" s="3"/>
      <c r="D898" s="3"/>
      <c r="E898" s="3"/>
    </row>
    <row r="899" ht="15.75" customHeight="1">
      <c r="A899" s="3"/>
      <c r="B899" s="3"/>
      <c r="C899" s="3"/>
      <c r="D899" s="3"/>
      <c r="E899" s="3"/>
    </row>
    <row r="900" ht="15.75" customHeight="1">
      <c r="A900" s="3"/>
      <c r="B900" s="3"/>
      <c r="C900" s="3"/>
      <c r="D900" s="3"/>
      <c r="E900" s="3"/>
    </row>
    <row r="901" ht="15.75" customHeight="1">
      <c r="A901" s="3"/>
      <c r="B901" s="3"/>
      <c r="C901" s="3"/>
      <c r="D901" s="3"/>
      <c r="E901" s="3"/>
    </row>
    <row r="902" ht="15.75" customHeight="1">
      <c r="A902" s="3"/>
      <c r="B902" s="3"/>
      <c r="C902" s="3"/>
      <c r="D902" s="3"/>
      <c r="E902" s="3"/>
    </row>
    <row r="903" ht="15.75" customHeight="1">
      <c r="A903" s="3"/>
      <c r="B903" s="3"/>
      <c r="C903" s="3"/>
      <c r="D903" s="3"/>
      <c r="E903" s="3"/>
    </row>
    <row r="904" ht="15.75" customHeight="1">
      <c r="A904" s="3"/>
      <c r="B904" s="3"/>
      <c r="C904" s="3"/>
      <c r="D904" s="3"/>
      <c r="E904" s="3"/>
    </row>
    <row r="905" ht="15.75" customHeight="1">
      <c r="A905" s="3"/>
      <c r="B905" s="3"/>
      <c r="C905" s="3"/>
      <c r="D905" s="3"/>
      <c r="E905" s="3"/>
    </row>
    <row r="906" ht="15.75" customHeight="1">
      <c r="A906" s="3"/>
      <c r="B906" s="3"/>
      <c r="C906" s="3"/>
      <c r="D906" s="3"/>
      <c r="E906" s="3"/>
    </row>
    <row r="907" ht="15.75" customHeight="1">
      <c r="A907" s="3"/>
      <c r="B907" s="3"/>
      <c r="C907" s="3"/>
      <c r="D907" s="3"/>
      <c r="E907" s="3"/>
    </row>
    <row r="908" ht="15.75" customHeight="1">
      <c r="A908" s="3"/>
      <c r="B908" s="3"/>
      <c r="C908" s="3"/>
      <c r="D908" s="3"/>
      <c r="E908" s="3"/>
    </row>
    <row r="909" ht="15.75" customHeight="1">
      <c r="A909" s="3"/>
      <c r="B909" s="3"/>
      <c r="C909" s="3"/>
      <c r="D909" s="3"/>
      <c r="E909" s="3"/>
    </row>
    <row r="910" ht="15.75" customHeight="1">
      <c r="A910" s="3"/>
      <c r="B910" s="3"/>
      <c r="C910" s="3"/>
      <c r="D910" s="3"/>
      <c r="E910" s="3"/>
    </row>
    <row r="911" ht="15.75" customHeight="1">
      <c r="A911" s="3"/>
      <c r="B911" s="3"/>
      <c r="C911" s="3"/>
      <c r="D911" s="3"/>
      <c r="E911" s="3"/>
    </row>
    <row r="912" ht="15.75" customHeight="1">
      <c r="A912" s="3"/>
      <c r="B912" s="3"/>
      <c r="C912" s="3"/>
      <c r="D912" s="3"/>
      <c r="E912" s="3"/>
    </row>
    <row r="913" ht="15.75" customHeight="1">
      <c r="A913" s="3"/>
      <c r="B913" s="3"/>
      <c r="C913" s="3"/>
      <c r="D913" s="3"/>
      <c r="E913" s="3"/>
    </row>
    <row r="914" ht="15.75" customHeight="1">
      <c r="A914" s="3"/>
      <c r="B914" s="3"/>
      <c r="C914" s="3"/>
      <c r="D914" s="3"/>
      <c r="E914" s="3"/>
    </row>
    <row r="915" ht="15.75" customHeight="1">
      <c r="A915" s="3"/>
      <c r="B915" s="3"/>
      <c r="C915" s="3"/>
      <c r="D915" s="3"/>
      <c r="E915" s="3"/>
    </row>
    <row r="916" ht="15.75" customHeight="1">
      <c r="A916" s="3"/>
      <c r="B916" s="3"/>
      <c r="C916" s="3"/>
      <c r="D916" s="3"/>
      <c r="E916" s="3"/>
    </row>
    <row r="917" ht="15.75" customHeight="1">
      <c r="A917" s="3"/>
      <c r="B917" s="3"/>
      <c r="C917" s="3"/>
      <c r="D917" s="3"/>
      <c r="E917" s="3"/>
    </row>
    <row r="918" ht="15.75" customHeight="1">
      <c r="A918" s="3"/>
      <c r="B918" s="3"/>
      <c r="C918" s="3"/>
      <c r="D918" s="3"/>
      <c r="E918" s="3"/>
    </row>
    <row r="919" ht="15.75" customHeight="1">
      <c r="A919" s="3"/>
      <c r="B919" s="3"/>
      <c r="C919" s="3"/>
      <c r="D919" s="3"/>
      <c r="E919" s="3"/>
    </row>
    <row r="920" ht="15.75" customHeight="1">
      <c r="A920" s="3"/>
      <c r="B920" s="3"/>
      <c r="C920" s="3"/>
      <c r="D920" s="3"/>
      <c r="E920" s="3"/>
    </row>
    <row r="921" ht="15.75" customHeight="1">
      <c r="A921" s="3"/>
      <c r="B921" s="3"/>
      <c r="C921" s="3"/>
      <c r="D921" s="3"/>
      <c r="E921" s="3"/>
    </row>
    <row r="922" ht="15.75" customHeight="1">
      <c r="A922" s="3"/>
      <c r="B922" s="3"/>
      <c r="C922" s="3"/>
      <c r="D922" s="3"/>
      <c r="E922" s="3"/>
    </row>
    <row r="923" ht="15.75" customHeight="1">
      <c r="A923" s="3"/>
      <c r="B923" s="3"/>
      <c r="C923" s="3"/>
      <c r="D923" s="3"/>
      <c r="E923" s="3"/>
    </row>
    <row r="924" ht="15.75" customHeight="1">
      <c r="A924" s="3"/>
      <c r="B924" s="3"/>
      <c r="C924" s="3"/>
      <c r="D924" s="3"/>
      <c r="E924" s="3"/>
    </row>
    <row r="925" ht="15.75" customHeight="1">
      <c r="A925" s="3"/>
      <c r="B925" s="3"/>
      <c r="C925" s="3"/>
      <c r="D925" s="3"/>
      <c r="E925" s="3"/>
    </row>
    <row r="926" ht="15.75" customHeight="1">
      <c r="A926" s="3"/>
      <c r="B926" s="3"/>
      <c r="C926" s="3"/>
      <c r="D926" s="3"/>
      <c r="E926" s="3"/>
    </row>
    <row r="927" ht="15.75" customHeight="1">
      <c r="A927" s="3"/>
      <c r="B927" s="3"/>
      <c r="C927" s="3"/>
      <c r="D927" s="3"/>
      <c r="E927" s="3"/>
    </row>
    <row r="928" ht="15.75" customHeight="1">
      <c r="A928" s="3"/>
      <c r="B928" s="3"/>
      <c r="C928" s="3"/>
      <c r="D928" s="3"/>
      <c r="E928" s="3"/>
    </row>
    <row r="929" ht="15.75" customHeight="1">
      <c r="A929" s="3"/>
      <c r="B929" s="3"/>
      <c r="C929" s="3"/>
      <c r="D929" s="3"/>
      <c r="E929" s="3"/>
    </row>
    <row r="930" ht="15.75" customHeight="1">
      <c r="A930" s="3"/>
      <c r="B930" s="3"/>
      <c r="C930" s="3"/>
      <c r="D930" s="3"/>
      <c r="E930" s="3"/>
    </row>
    <row r="931" ht="15.75" customHeight="1">
      <c r="A931" s="3"/>
      <c r="B931" s="3"/>
      <c r="C931" s="3"/>
      <c r="D931" s="3"/>
      <c r="E931" s="3"/>
    </row>
    <row r="932" ht="15.75" customHeight="1">
      <c r="A932" s="3"/>
      <c r="B932" s="3"/>
      <c r="C932" s="3"/>
      <c r="D932" s="3"/>
      <c r="E932" s="3"/>
    </row>
    <row r="933" ht="15.75" customHeight="1">
      <c r="A933" s="3"/>
      <c r="B933" s="3"/>
      <c r="C933" s="3"/>
      <c r="D933" s="3"/>
      <c r="E933" s="3"/>
    </row>
    <row r="934" ht="15.75" customHeight="1">
      <c r="A934" s="3"/>
      <c r="B934" s="3"/>
      <c r="C934" s="3"/>
      <c r="D934" s="3"/>
      <c r="E934" s="3"/>
    </row>
    <row r="935" ht="15.75" customHeight="1">
      <c r="A935" s="3"/>
      <c r="B935" s="3"/>
      <c r="C935" s="3"/>
      <c r="D935" s="3"/>
      <c r="E935" s="3"/>
    </row>
    <row r="936" ht="15.75" customHeight="1">
      <c r="A936" s="3"/>
      <c r="B936" s="3"/>
      <c r="C936" s="3"/>
      <c r="D936" s="3"/>
      <c r="E936" s="3"/>
    </row>
    <row r="937" ht="15.75" customHeight="1">
      <c r="A937" s="3"/>
      <c r="B937" s="3"/>
      <c r="C937" s="3"/>
      <c r="D937" s="3"/>
      <c r="E937" s="3"/>
    </row>
    <row r="938" ht="15.75" customHeight="1">
      <c r="A938" s="3"/>
      <c r="B938" s="3"/>
      <c r="C938" s="3"/>
      <c r="D938" s="3"/>
      <c r="E938" s="3"/>
    </row>
    <row r="939" ht="15.75" customHeight="1">
      <c r="A939" s="3"/>
      <c r="B939" s="3"/>
      <c r="C939" s="3"/>
      <c r="D939" s="3"/>
      <c r="E939" s="3"/>
    </row>
    <row r="940" ht="15.75" customHeight="1">
      <c r="A940" s="3"/>
      <c r="B940" s="3"/>
      <c r="C940" s="3"/>
      <c r="D940" s="3"/>
      <c r="E940" s="3"/>
    </row>
    <row r="941" ht="15.75" customHeight="1">
      <c r="A941" s="3"/>
      <c r="B941" s="3"/>
      <c r="C941" s="3"/>
      <c r="D941" s="3"/>
      <c r="E941" s="3"/>
    </row>
    <row r="942" ht="15.75" customHeight="1">
      <c r="A942" s="3"/>
      <c r="B942" s="3"/>
      <c r="C942" s="3"/>
      <c r="D942" s="3"/>
      <c r="E942" s="3"/>
    </row>
    <row r="943" ht="15.75" customHeight="1">
      <c r="A943" s="3"/>
      <c r="B943" s="3"/>
      <c r="C943" s="3"/>
      <c r="D943" s="3"/>
      <c r="E943" s="3"/>
    </row>
    <row r="944" ht="15.75" customHeight="1">
      <c r="A944" s="3"/>
      <c r="B944" s="3"/>
      <c r="C944" s="3"/>
      <c r="D944" s="3"/>
      <c r="E944" s="3"/>
    </row>
    <row r="945" ht="15.75" customHeight="1">
      <c r="A945" s="3"/>
      <c r="B945" s="3"/>
      <c r="C945" s="3"/>
      <c r="D945" s="3"/>
      <c r="E945" s="3"/>
    </row>
    <row r="946" ht="15.75" customHeight="1">
      <c r="A946" s="3"/>
      <c r="B946" s="3"/>
      <c r="C946" s="3"/>
      <c r="D946" s="3"/>
      <c r="E946" s="3"/>
    </row>
    <row r="947" ht="15.75" customHeight="1">
      <c r="A947" s="3"/>
      <c r="B947" s="3"/>
      <c r="C947" s="3"/>
      <c r="D947" s="3"/>
      <c r="E947" s="3"/>
    </row>
    <row r="948" ht="15.75" customHeight="1">
      <c r="A948" s="3"/>
      <c r="B948" s="3"/>
      <c r="C948" s="3"/>
      <c r="D948" s="3"/>
      <c r="E948" s="3"/>
    </row>
    <row r="949" ht="15.75" customHeight="1">
      <c r="A949" s="3"/>
      <c r="B949" s="3"/>
      <c r="C949" s="3"/>
      <c r="D949" s="3"/>
      <c r="E949" s="3"/>
    </row>
    <row r="950" ht="15.75" customHeight="1">
      <c r="A950" s="3"/>
      <c r="B950" s="3"/>
      <c r="C950" s="3"/>
      <c r="D950" s="3"/>
      <c r="E950" s="3"/>
    </row>
    <row r="951" ht="15.75" customHeight="1">
      <c r="A951" s="3"/>
      <c r="B951" s="3"/>
      <c r="C951" s="3"/>
      <c r="D951" s="3"/>
      <c r="E951" s="3"/>
    </row>
    <row r="952" ht="15.75" customHeight="1">
      <c r="A952" s="3"/>
      <c r="B952" s="3"/>
      <c r="C952" s="3"/>
      <c r="D952" s="3"/>
      <c r="E952" s="3"/>
    </row>
    <row r="953" ht="15.75" customHeight="1">
      <c r="A953" s="3"/>
      <c r="B953" s="3"/>
      <c r="C953" s="3"/>
      <c r="D953" s="3"/>
      <c r="E953" s="3"/>
    </row>
    <row r="954" ht="15.75" customHeight="1">
      <c r="A954" s="3"/>
      <c r="B954" s="3"/>
      <c r="C954" s="3"/>
      <c r="D954" s="3"/>
      <c r="E954" s="3"/>
    </row>
    <row r="955" ht="15.75" customHeight="1">
      <c r="A955" s="3"/>
      <c r="B955" s="3"/>
      <c r="C955" s="3"/>
      <c r="D955" s="3"/>
      <c r="E955" s="3"/>
    </row>
    <row r="956" ht="15.75" customHeight="1">
      <c r="A956" s="3"/>
      <c r="B956" s="3"/>
      <c r="C956" s="3"/>
      <c r="D956" s="3"/>
      <c r="E956" s="3"/>
    </row>
    <row r="957" ht="15.75" customHeight="1">
      <c r="A957" s="3"/>
      <c r="B957" s="3"/>
      <c r="C957" s="3"/>
      <c r="D957" s="3"/>
      <c r="E957" s="3"/>
    </row>
    <row r="958" ht="15.75" customHeight="1">
      <c r="A958" s="3"/>
      <c r="B958" s="3"/>
      <c r="C958" s="3"/>
      <c r="D958" s="3"/>
      <c r="E958" s="3"/>
    </row>
    <row r="959" ht="15.75" customHeight="1">
      <c r="A959" s="3"/>
      <c r="B959" s="3"/>
      <c r="C959" s="3"/>
      <c r="D959" s="3"/>
      <c r="E959" s="3"/>
    </row>
    <row r="960" ht="15.75" customHeight="1">
      <c r="A960" s="3"/>
      <c r="B960" s="3"/>
      <c r="C960" s="3"/>
      <c r="D960" s="3"/>
      <c r="E960" s="3"/>
    </row>
    <row r="961" ht="15.75" customHeight="1">
      <c r="A961" s="3"/>
      <c r="B961" s="3"/>
      <c r="C961" s="3"/>
      <c r="D961" s="3"/>
      <c r="E961" s="3"/>
    </row>
    <row r="962" ht="15.75" customHeight="1">
      <c r="A962" s="3"/>
      <c r="B962" s="3"/>
      <c r="C962" s="3"/>
      <c r="D962" s="3"/>
      <c r="E962" s="3"/>
    </row>
    <row r="963" ht="15.75" customHeight="1">
      <c r="A963" s="3"/>
      <c r="B963" s="3"/>
      <c r="C963" s="3"/>
      <c r="D963" s="3"/>
      <c r="E963" s="3"/>
    </row>
    <row r="964" ht="15.75" customHeight="1">
      <c r="A964" s="3"/>
      <c r="B964" s="3"/>
      <c r="C964" s="3"/>
      <c r="D964" s="3"/>
      <c r="E964" s="3"/>
    </row>
    <row r="965" ht="15.75" customHeight="1">
      <c r="A965" s="3"/>
      <c r="B965" s="3"/>
      <c r="C965" s="3"/>
      <c r="D965" s="3"/>
      <c r="E965" s="3"/>
    </row>
    <row r="966" ht="15.75" customHeight="1">
      <c r="A966" s="3"/>
      <c r="B966" s="3"/>
      <c r="C966" s="3"/>
      <c r="D966" s="3"/>
      <c r="E966" s="3"/>
    </row>
    <row r="967" ht="15.75" customHeight="1">
      <c r="A967" s="3"/>
      <c r="B967" s="3"/>
      <c r="C967" s="3"/>
      <c r="D967" s="3"/>
      <c r="E967" s="3"/>
    </row>
    <row r="968" ht="15.75" customHeight="1">
      <c r="A968" s="3"/>
      <c r="B968" s="3"/>
      <c r="C968" s="3"/>
      <c r="D968" s="3"/>
      <c r="E968" s="3"/>
    </row>
    <row r="969" ht="15.75" customHeight="1">
      <c r="A969" s="3"/>
      <c r="B969" s="3"/>
      <c r="C969" s="3"/>
      <c r="D969" s="3"/>
      <c r="E969" s="3"/>
    </row>
    <row r="970" ht="15.75" customHeight="1">
      <c r="A970" s="3"/>
      <c r="B970" s="3"/>
      <c r="C970" s="3"/>
      <c r="D970" s="3"/>
      <c r="E970" s="3"/>
    </row>
    <row r="971" ht="15.75" customHeight="1">
      <c r="A971" s="3"/>
      <c r="B971" s="3"/>
      <c r="C971" s="3"/>
      <c r="D971" s="3"/>
      <c r="E971" s="3"/>
    </row>
    <row r="972" ht="15.75" customHeight="1">
      <c r="A972" s="3"/>
      <c r="B972" s="3"/>
      <c r="C972" s="3"/>
      <c r="D972" s="3"/>
      <c r="E972" s="3"/>
    </row>
    <row r="973" ht="15.75" customHeight="1">
      <c r="A973" s="3"/>
      <c r="B973" s="3"/>
      <c r="C973" s="3"/>
      <c r="D973" s="3"/>
      <c r="E973" s="3"/>
    </row>
    <row r="974" ht="15.75" customHeight="1">
      <c r="A974" s="3"/>
      <c r="B974" s="3"/>
      <c r="C974" s="3"/>
      <c r="D974" s="3"/>
      <c r="E974" s="3"/>
    </row>
    <row r="975" ht="15.75" customHeight="1">
      <c r="A975" s="3"/>
      <c r="B975" s="3"/>
      <c r="C975" s="3"/>
      <c r="D975" s="3"/>
      <c r="E975" s="3"/>
    </row>
    <row r="976" ht="15.75" customHeight="1">
      <c r="A976" s="3"/>
      <c r="B976" s="3"/>
      <c r="C976" s="3"/>
      <c r="D976" s="3"/>
      <c r="E976" s="3"/>
    </row>
    <row r="977" ht="15.75" customHeight="1">
      <c r="A977" s="3"/>
      <c r="B977" s="3"/>
      <c r="C977" s="3"/>
      <c r="D977" s="3"/>
      <c r="E977" s="3"/>
    </row>
    <row r="978" ht="15.75" customHeight="1">
      <c r="A978" s="3"/>
      <c r="B978" s="3"/>
      <c r="C978" s="3"/>
      <c r="D978" s="3"/>
      <c r="E978" s="3"/>
    </row>
    <row r="979" ht="15.75" customHeight="1">
      <c r="A979" s="3"/>
      <c r="B979" s="3"/>
      <c r="C979" s="3"/>
      <c r="D979" s="3"/>
      <c r="E979" s="3"/>
    </row>
    <row r="980" ht="15.75" customHeight="1">
      <c r="A980" s="3"/>
      <c r="B980" s="3"/>
      <c r="C980" s="3"/>
      <c r="D980" s="3"/>
      <c r="E980" s="3"/>
    </row>
    <row r="981" ht="15.75" customHeight="1">
      <c r="A981" s="3"/>
      <c r="B981" s="3"/>
      <c r="C981" s="3"/>
      <c r="D981" s="3"/>
      <c r="E981" s="3"/>
    </row>
    <row r="982" ht="15.75" customHeight="1">
      <c r="A982" s="3"/>
      <c r="B982" s="3"/>
      <c r="C982" s="3"/>
      <c r="D982" s="3"/>
      <c r="E982" s="3"/>
    </row>
    <row r="983" ht="15.75" customHeight="1">
      <c r="A983" s="3"/>
      <c r="B983" s="3"/>
      <c r="C983" s="3"/>
      <c r="D983" s="3"/>
      <c r="E983" s="3"/>
    </row>
    <row r="984" ht="15.75" customHeight="1">
      <c r="A984" s="3"/>
      <c r="B984" s="3"/>
      <c r="C984" s="3"/>
      <c r="D984" s="3"/>
      <c r="E984" s="3"/>
    </row>
    <row r="985" ht="15.75" customHeight="1">
      <c r="A985" s="3"/>
      <c r="B985" s="3"/>
      <c r="C985" s="3"/>
      <c r="D985" s="3"/>
      <c r="E985" s="3"/>
    </row>
    <row r="986" ht="15.75" customHeight="1">
      <c r="A986" s="3"/>
      <c r="B986" s="3"/>
      <c r="C986" s="3"/>
      <c r="D986" s="3"/>
      <c r="E986" s="3"/>
    </row>
    <row r="987" ht="15.75" customHeight="1">
      <c r="A987" s="3"/>
      <c r="B987" s="3"/>
      <c r="C987" s="3"/>
      <c r="D987" s="3"/>
      <c r="E987" s="3"/>
    </row>
    <row r="988" ht="15.75" customHeight="1">
      <c r="A988" s="3"/>
      <c r="B988" s="3"/>
      <c r="C988" s="3"/>
      <c r="D988" s="3"/>
      <c r="E988" s="3"/>
    </row>
    <row r="989" ht="15.75" customHeight="1">
      <c r="A989" s="3"/>
      <c r="B989" s="3"/>
      <c r="C989" s="3"/>
      <c r="D989" s="3"/>
      <c r="E989" s="3"/>
    </row>
    <row r="990" ht="15.75" customHeight="1">
      <c r="A990" s="3"/>
      <c r="B990" s="3"/>
      <c r="C990" s="3"/>
      <c r="D990" s="3"/>
      <c r="E990" s="3"/>
    </row>
    <row r="991" ht="15.75" customHeight="1">
      <c r="A991" s="3"/>
      <c r="B991" s="3"/>
      <c r="C991" s="3"/>
      <c r="D991" s="3"/>
      <c r="E991" s="3"/>
    </row>
    <row r="992" ht="15.75" customHeight="1">
      <c r="A992" s="3"/>
      <c r="B992" s="3"/>
      <c r="C992" s="3"/>
      <c r="D992" s="3"/>
      <c r="E992" s="3"/>
    </row>
    <row r="993" ht="15.75" customHeight="1">
      <c r="A993" s="3"/>
      <c r="B993" s="3"/>
      <c r="C993" s="3"/>
      <c r="D993" s="3"/>
      <c r="E993" s="3"/>
    </row>
    <row r="994" ht="15.75" customHeight="1">
      <c r="A994" s="3"/>
      <c r="B994" s="3"/>
      <c r="C994" s="3"/>
      <c r="D994" s="3"/>
      <c r="E994" s="3"/>
    </row>
    <row r="995" ht="15.75" customHeight="1">
      <c r="A995" s="3"/>
      <c r="B995" s="3"/>
      <c r="C995" s="3"/>
      <c r="D995" s="3"/>
      <c r="E995" s="3"/>
    </row>
    <row r="996" ht="15.75" customHeight="1">
      <c r="A996" s="3"/>
      <c r="B996" s="3"/>
      <c r="C996" s="3"/>
      <c r="D996" s="3"/>
      <c r="E996" s="3"/>
    </row>
    <row r="997" ht="15.75" customHeight="1">
      <c r="A997" s="3"/>
      <c r="B997" s="3"/>
      <c r="C997" s="3"/>
      <c r="D997" s="3"/>
      <c r="E997" s="3"/>
    </row>
    <row r="998" ht="15.75" customHeight="1">
      <c r="A998" s="3"/>
      <c r="B998" s="3"/>
      <c r="C998" s="3"/>
      <c r="D998" s="3"/>
      <c r="E998" s="3"/>
    </row>
    <row r="999" ht="15.75" customHeight="1">
      <c r="A999" s="3"/>
      <c r="B999" s="3"/>
      <c r="C999" s="3"/>
      <c r="D999" s="3"/>
      <c r="E999" s="3"/>
    </row>
    <row r="1000" ht="15.75" customHeight="1">
      <c r="A1000" s="3"/>
      <c r="B1000" s="3"/>
      <c r="C1000" s="3"/>
      <c r="D1000" s="3"/>
      <c r="E1000" s="3"/>
    </row>
  </sheetData>
  <autoFilter ref="$A$1:$E$37"/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2" width="39.0"/>
    <col customWidth="1" min="3" max="3" width="23.0"/>
    <col customWidth="1" min="4" max="4" width="22.0"/>
    <col customWidth="1" min="5" max="5" width="10.0"/>
    <col customWidth="1" min="6" max="6" width="25.0"/>
    <col customWidth="1" min="7" max="26" width="8.71"/>
  </cols>
  <sheetData>
    <row r="1" ht="15.0" customHeight="1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9</v>
      </c>
    </row>
    <row r="2" ht="15.0" customHeight="1">
      <c r="A2" s="6" t="s">
        <v>11</v>
      </c>
      <c r="B2" s="6" t="s">
        <v>15</v>
      </c>
      <c r="C2" s="8" t="s">
        <v>16</v>
      </c>
      <c r="D2" s="6"/>
      <c r="E2" s="6"/>
      <c r="F2" s="6">
        <v>9.0</v>
      </c>
    </row>
    <row r="3" ht="15.0" customHeight="1">
      <c r="A3" s="6" t="s">
        <v>25</v>
      </c>
      <c r="B3" s="6" t="s">
        <v>26</v>
      </c>
      <c r="C3" s="8" t="s">
        <v>23</v>
      </c>
      <c r="D3" s="6"/>
      <c r="E3" s="6"/>
      <c r="F3" s="6">
        <v>2.0</v>
      </c>
    </row>
    <row r="4" ht="15.0" customHeight="1">
      <c r="A4" s="6" t="s">
        <v>30</v>
      </c>
      <c r="B4" s="6" t="s">
        <v>31</v>
      </c>
      <c r="C4" s="8" t="s">
        <v>35</v>
      </c>
      <c r="D4" s="6"/>
      <c r="E4" s="6"/>
      <c r="F4" s="6">
        <v>42.0</v>
      </c>
    </row>
    <row r="5" ht="15.0" customHeight="1">
      <c r="A5" s="6" t="s">
        <v>38</v>
      </c>
      <c r="B5" s="6" t="s">
        <v>34</v>
      </c>
      <c r="C5" s="8" t="s">
        <v>32</v>
      </c>
      <c r="D5" s="6"/>
      <c r="E5" s="6"/>
      <c r="F5" s="6">
        <v>1.0</v>
      </c>
    </row>
    <row r="6" ht="15.0" customHeight="1">
      <c r="A6" s="6" t="s">
        <v>43</v>
      </c>
      <c r="B6" s="6" t="s">
        <v>41</v>
      </c>
      <c r="C6" s="8" t="s">
        <v>40</v>
      </c>
      <c r="D6" s="6"/>
      <c r="E6" s="6"/>
      <c r="F6" s="6">
        <v>2.0</v>
      </c>
    </row>
    <row r="7" ht="15.0" customHeight="1">
      <c r="A7" s="6" t="s">
        <v>48</v>
      </c>
      <c r="B7" s="6" t="s">
        <v>47</v>
      </c>
      <c r="C7" s="8" t="s">
        <v>45</v>
      </c>
      <c r="D7" s="6"/>
      <c r="E7" s="6"/>
      <c r="F7" s="6">
        <v>3.0</v>
      </c>
    </row>
    <row r="8" ht="15.0" customHeight="1">
      <c r="A8" s="6" t="s">
        <v>53</v>
      </c>
      <c r="B8" s="6" t="s">
        <v>57</v>
      </c>
      <c r="C8" s="8" t="s">
        <v>52</v>
      </c>
      <c r="D8" s="6">
        <v>6.0</v>
      </c>
      <c r="E8" s="6" t="s">
        <v>59</v>
      </c>
      <c r="F8" s="6">
        <v>2.0</v>
      </c>
    </row>
    <row r="9" ht="15.0" customHeight="1">
      <c r="A9" s="6" t="s">
        <v>62</v>
      </c>
      <c r="B9" s="6" t="s">
        <v>64</v>
      </c>
      <c r="C9" s="8" t="s">
        <v>66</v>
      </c>
      <c r="D9" s="6"/>
      <c r="E9" s="6"/>
      <c r="F9" s="6">
        <v>2.0</v>
      </c>
    </row>
    <row r="10" ht="15.0" customHeight="1">
      <c r="A10" s="6" t="s">
        <v>68</v>
      </c>
      <c r="B10" s="6" t="s">
        <v>63</v>
      </c>
      <c r="C10" s="8" t="s">
        <v>61</v>
      </c>
      <c r="D10" s="6"/>
      <c r="E10" s="6"/>
      <c r="F10" s="6">
        <v>1.0</v>
      </c>
    </row>
    <row r="11" ht="15.0" customHeight="1">
      <c r="A11" s="6" t="s">
        <v>74</v>
      </c>
      <c r="B11" s="6" t="s">
        <v>75</v>
      </c>
      <c r="C11" s="8" t="s">
        <v>76</v>
      </c>
      <c r="D11" s="6"/>
      <c r="E11" s="6"/>
      <c r="F11" s="6">
        <v>1.0</v>
      </c>
    </row>
    <row r="12" ht="15.0" customHeight="1">
      <c r="A12" s="6" t="s">
        <v>80</v>
      </c>
      <c r="B12" s="6" t="s">
        <v>82</v>
      </c>
      <c r="C12" s="8" t="s">
        <v>83</v>
      </c>
      <c r="D12" s="6">
        <v>10.0</v>
      </c>
      <c r="E12" s="6" t="s">
        <v>59</v>
      </c>
      <c r="F12" s="6">
        <v>2.0</v>
      </c>
    </row>
    <row r="13" ht="15.0" customHeight="1">
      <c r="A13" s="6" t="s">
        <v>85</v>
      </c>
      <c r="B13" s="6" t="s">
        <v>86</v>
      </c>
      <c r="C13" s="8" t="s">
        <v>83</v>
      </c>
      <c r="D13" s="6">
        <v>14.0</v>
      </c>
      <c r="E13" s="6" t="s">
        <v>59</v>
      </c>
      <c r="F13" s="6">
        <v>3.0</v>
      </c>
    </row>
    <row r="14" ht="15.0" customHeight="1">
      <c r="A14" s="6" t="s">
        <v>89</v>
      </c>
      <c r="B14" s="6" t="s">
        <v>90</v>
      </c>
      <c r="C14" s="8" t="s">
        <v>83</v>
      </c>
      <c r="D14" s="6">
        <v>21.0</v>
      </c>
      <c r="E14" s="6" t="s">
        <v>59</v>
      </c>
      <c r="F14" s="6">
        <v>1.0</v>
      </c>
    </row>
    <row r="15" ht="15.0" customHeight="1">
      <c r="A15" s="6" t="s">
        <v>92</v>
      </c>
      <c r="B15" s="6" t="s">
        <v>94</v>
      </c>
      <c r="C15" s="8" t="s">
        <v>95</v>
      </c>
      <c r="D15" s="6">
        <v>210.0</v>
      </c>
      <c r="E15" s="6" t="s">
        <v>96</v>
      </c>
      <c r="F15" s="6">
        <v>16.0</v>
      </c>
    </row>
    <row r="16" ht="15.0" customHeight="1">
      <c r="A16" s="6" t="s">
        <v>99</v>
      </c>
      <c r="B16" s="6" t="s">
        <v>100</v>
      </c>
      <c r="C16" s="8" t="s">
        <v>95</v>
      </c>
      <c r="D16" s="6">
        <v>220.0</v>
      </c>
      <c r="E16" s="6" t="s">
        <v>96</v>
      </c>
      <c r="F16" s="6">
        <v>6.0</v>
      </c>
    </row>
    <row r="17" ht="15.0" customHeight="1">
      <c r="A17" s="6" t="s">
        <v>102</v>
      </c>
      <c r="B17" s="6" t="s">
        <v>104</v>
      </c>
      <c r="C17" s="8" t="s">
        <v>95</v>
      </c>
      <c r="D17" s="6">
        <v>235.0</v>
      </c>
      <c r="E17" s="6" t="s">
        <v>96</v>
      </c>
      <c r="F17" s="6">
        <v>12.0</v>
      </c>
    </row>
    <row r="18" ht="15.0" customHeight="1">
      <c r="A18" s="6" t="s">
        <v>105</v>
      </c>
      <c r="B18" s="6" t="s">
        <v>106</v>
      </c>
      <c r="C18" s="8" t="s">
        <v>95</v>
      </c>
      <c r="D18" s="6">
        <v>240.0</v>
      </c>
      <c r="E18" s="6" t="s">
        <v>96</v>
      </c>
      <c r="F18" s="6">
        <v>4.0</v>
      </c>
    </row>
    <row r="19" ht="15.0" customHeight="1">
      <c r="A19" s="6" t="s">
        <v>107</v>
      </c>
      <c r="B19" s="6" t="s">
        <v>108</v>
      </c>
      <c r="C19" s="8" t="s">
        <v>95</v>
      </c>
      <c r="D19" s="6">
        <v>30.0</v>
      </c>
      <c r="E19" s="6" t="s">
        <v>96</v>
      </c>
      <c r="F19" s="6">
        <v>2.0</v>
      </c>
    </row>
    <row r="20" ht="15.0" customHeight="1">
      <c r="A20" s="6" t="s">
        <v>111</v>
      </c>
      <c r="B20" s="6" t="s">
        <v>112</v>
      </c>
      <c r="C20" s="8" t="s">
        <v>95</v>
      </c>
      <c r="D20" s="6">
        <v>35.0</v>
      </c>
      <c r="E20" s="6" t="s">
        <v>96</v>
      </c>
      <c r="F20" s="6">
        <v>3.0</v>
      </c>
    </row>
    <row r="21" ht="15.0" customHeight="1">
      <c r="A21" s="6" t="s">
        <v>115</v>
      </c>
      <c r="B21" s="6" t="s">
        <v>116</v>
      </c>
      <c r="C21" s="8" t="s">
        <v>95</v>
      </c>
      <c r="D21" s="6">
        <v>50.0</v>
      </c>
      <c r="E21" s="6" t="s">
        <v>96</v>
      </c>
      <c r="F21" s="6">
        <v>19.0</v>
      </c>
    </row>
    <row r="22" ht="15.0" customHeight="1">
      <c r="A22" s="6" t="s">
        <v>118</v>
      </c>
      <c r="B22" s="6" t="s">
        <v>120</v>
      </c>
      <c r="C22" s="8" t="s">
        <v>95</v>
      </c>
      <c r="D22" s="6">
        <v>60.0</v>
      </c>
      <c r="E22" s="6" t="s">
        <v>96</v>
      </c>
      <c r="F22" s="6">
        <v>16.0</v>
      </c>
    </row>
    <row r="23" ht="15.0" customHeight="1">
      <c r="A23" s="6" t="s">
        <v>122</v>
      </c>
      <c r="B23" s="6" t="s">
        <v>88</v>
      </c>
      <c r="C23" s="8" t="s">
        <v>87</v>
      </c>
      <c r="D23" s="6"/>
      <c r="E23" s="6"/>
      <c r="F23" s="6">
        <v>1.0</v>
      </c>
    </row>
    <row r="24" ht="15.0" customHeight="1">
      <c r="A24" s="6" t="s">
        <v>125</v>
      </c>
      <c r="B24" s="6" t="s">
        <v>93</v>
      </c>
      <c r="C24" s="8" t="s">
        <v>91</v>
      </c>
      <c r="D24" s="6">
        <v>10.0</v>
      </c>
      <c r="E24" s="6" t="s">
        <v>59</v>
      </c>
      <c r="F24" s="6">
        <v>1.0</v>
      </c>
    </row>
    <row r="25" ht="15.0" customHeight="1">
      <c r="A25" s="6" t="s">
        <v>127</v>
      </c>
      <c r="B25" s="6" t="s">
        <v>98</v>
      </c>
      <c r="C25" s="8" t="s">
        <v>97</v>
      </c>
      <c r="D25" s="6">
        <v>10.0</v>
      </c>
      <c r="E25" s="6" t="s">
        <v>59</v>
      </c>
      <c r="F25" s="6">
        <v>2.0</v>
      </c>
    </row>
    <row r="26" ht="15.0" customHeight="1">
      <c r="A26" s="6" t="s">
        <v>130</v>
      </c>
      <c r="B26" s="6" t="s">
        <v>103</v>
      </c>
      <c r="C26" s="8" t="s">
        <v>101</v>
      </c>
      <c r="D26" s="6"/>
      <c r="E26" s="6"/>
      <c r="F26" s="6">
        <v>6.0</v>
      </c>
    </row>
    <row r="27" ht="15.0" customHeight="1">
      <c r="A27" s="6" t="s">
        <v>133</v>
      </c>
      <c r="B27" s="6" t="s">
        <v>110</v>
      </c>
      <c r="C27" s="8" t="s">
        <v>109</v>
      </c>
      <c r="D27" s="6"/>
      <c r="E27" s="6"/>
      <c r="F27" s="6">
        <v>1.0</v>
      </c>
    </row>
    <row r="28" ht="15.0" customHeight="1">
      <c r="A28" s="6" t="s">
        <v>135</v>
      </c>
      <c r="B28" s="6" t="s">
        <v>137</v>
      </c>
      <c r="C28" s="8" t="s">
        <v>109</v>
      </c>
      <c r="D28" s="6">
        <v>10.0</v>
      </c>
      <c r="E28" s="6" t="s">
        <v>59</v>
      </c>
      <c r="F28" s="6">
        <v>1.0</v>
      </c>
    </row>
    <row r="29" ht="15.0" customHeight="1">
      <c r="A29" s="6" t="s">
        <v>139</v>
      </c>
      <c r="B29" s="6" t="s">
        <v>141</v>
      </c>
      <c r="C29" s="8" t="s">
        <v>109</v>
      </c>
      <c r="D29" s="6">
        <v>1.0</v>
      </c>
      <c r="E29" s="6" t="s">
        <v>59</v>
      </c>
      <c r="F29" s="6">
        <v>1.0</v>
      </c>
    </row>
    <row r="30" ht="15.0" customHeight="1">
      <c r="A30" s="6" t="s">
        <v>146</v>
      </c>
      <c r="B30" s="6" t="s">
        <v>147</v>
      </c>
      <c r="C30" s="8" t="s">
        <v>109</v>
      </c>
      <c r="D30" s="6">
        <v>2.0</v>
      </c>
      <c r="E30" s="6" t="s">
        <v>59</v>
      </c>
      <c r="F30" s="6">
        <v>2.0</v>
      </c>
    </row>
    <row r="31" ht="15.0" customHeight="1">
      <c r="A31" s="6" t="s">
        <v>149</v>
      </c>
      <c r="B31" s="6" t="s">
        <v>151</v>
      </c>
      <c r="C31" s="8" t="s">
        <v>109</v>
      </c>
      <c r="D31" s="6">
        <v>6.0</v>
      </c>
      <c r="E31" s="6" t="s">
        <v>59</v>
      </c>
      <c r="F31" s="6">
        <v>1.0</v>
      </c>
    </row>
    <row r="32" ht="15.0" customHeight="1">
      <c r="A32" s="6" t="s">
        <v>154</v>
      </c>
      <c r="B32" s="6" t="s">
        <v>155</v>
      </c>
      <c r="C32" s="8" t="s">
        <v>109</v>
      </c>
      <c r="D32" s="6">
        <v>8.0</v>
      </c>
      <c r="E32" s="6" t="s">
        <v>59</v>
      </c>
      <c r="F32" s="6">
        <v>1.0</v>
      </c>
    </row>
    <row r="33" ht="15.0" customHeight="1">
      <c r="A33" s="6" t="s">
        <v>158</v>
      </c>
      <c r="B33" s="6" t="s">
        <v>159</v>
      </c>
      <c r="C33" s="8" t="s">
        <v>161</v>
      </c>
      <c r="D33" s="6">
        <v>25.0</v>
      </c>
      <c r="E33" s="6" t="s">
        <v>96</v>
      </c>
      <c r="F33" s="6">
        <v>1.0</v>
      </c>
    </row>
    <row r="34" ht="15.0" customHeight="1">
      <c r="A34" s="6" t="s">
        <v>164</v>
      </c>
      <c r="B34" s="6" t="s">
        <v>166</v>
      </c>
      <c r="C34" s="8" t="s">
        <v>161</v>
      </c>
      <c r="D34" s="6">
        <v>30.0</v>
      </c>
      <c r="E34" s="6" t="s">
        <v>96</v>
      </c>
      <c r="F34" s="6">
        <v>5.0</v>
      </c>
    </row>
    <row r="35" ht="15.0" customHeight="1">
      <c r="A35" s="6" t="s">
        <v>172</v>
      </c>
      <c r="B35" s="6" t="s">
        <v>173</v>
      </c>
      <c r="C35" s="8" t="s">
        <v>161</v>
      </c>
      <c r="D35" s="6">
        <v>35.0</v>
      </c>
      <c r="E35" s="6" t="s">
        <v>96</v>
      </c>
      <c r="F35" s="6">
        <v>18.0</v>
      </c>
    </row>
    <row r="36" ht="15.0" customHeight="1">
      <c r="A36" s="6" t="s">
        <v>177</v>
      </c>
      <c r="B36" s="6" t="s">
        <v>179</v>
      </c>
      <c r="C36" s="8" t="s">
        <v>161</v>
      </c>
      <c r="D36" s="6">
        <v>40.0</v>
      </c>
      <c r="E36" s="6" t="s">
        <v>96</v>
      </c>
      <c r="F36" s="6">
        <v>4.0</v>
      </c>
    </row>
    <row r="37" ht="15.0" customHeight="1">
      <c r="A37" s="6" t="s">
        <v>182</v>
      </c>
      <c r="B37" s="6" t="s">
        <v>114</v>
      </c>
      <c r="C37" s="8" t="s">
        <v>113</v>
      </c>
      <c r="D37" s="6"/>
      <c r="E37" s="6"/>
      <c r="F37" s="6">
        <v>5.0</v>
      </c>
    </row>
    <row r="38" ht="15.0" customHeight="1">
      <c r="A38" s="6" t="s">
        <v>187</v>
      </c>
      <c r="B38" s="6" t="s">
        <v>126</v>
      </c>
      <c r="C38" s="8" t="s">
        <v>124</v>
      </c>
      <c r="D38" s="6"/>
      <c r="E38" s="6"/>
      <c r="F38" s="6">
        <v>1.0</v>
      </c>
    </row>
    <row r="39" ht="15.0" customHeight="1">
      <c r="A39" s="6" t="s">
        <v>193</v>
      </c>
      <c r="B39" s="6" t="s">
        <v>194</v>
      </c>
      <c r="C39" s="8" t="s">
        <v>121</v>
      </c>
      <c r="D39" s="6">
        <v>10.0</v>
      </c>
      <c r="E39" s="6" t="s">
        <v>59</v>
      </c>
      <c r="F39" s="6">
        <v>2.0</v>
      </c>
    </row>
    <row r="40" ht="15.0" customHeight="1">
      <c r="A40" s="6" t="s">
        <v>200</v>
      </c>
      <c r="B40" s="6" t="s">
        <v>202</v>
      </c>
      <c r="C40" s="8" t="s">
        <v>121</v>
      </c>
      <c r="D40" s="6">
        <v>14.0</v>
      </c>
      <c r="E40" s="6" t="s">
        <v>59</v>
      </c>
      <c r="F40" s="6">
        <v>3.0</v>
      </c>
    </row>
    <row r="41" ht="15.0" customHeight="1">
      <c r="A41" s="6" t="s">
        <v>207</v>
      </c>
      <c r="B41" s="6" t="s">
        <v>209</v>
      </c>
      <c r="C41" s="8" t="s">
        <v>121</v>
      </c>
      <c r="D41" s="6">
        <v>19.0</v>
      </c>
      <c r="E41" s="6" t="s">
        <v>59</v>
      </c>
      <c r="F41" s="6">
        <v>2.0</v>
      </c>
    </row>
    <row r="42" ht="15.0" customHeight="1">
      <c r="A42" s="6" t="s">
        <v>212</v>
      </c>
      <c r="B42" s="6" t="s">
        <v>214</v>
      </c>
      <c r="C42" s="8" t="s">
        <v>197</v>
      </c>
      <c r="D42" s="6">
        <v>20.0</v>
      </c>
      <c r="E42" s="6" t="s">
        <v>96</v>
      </c>
      <c r="F42" s="6">
        <v>3.0</v>
      </c>
    </row>
    <row r="43" ht="15.0" customHeight="1">
      <c r="A43" s="6" t="s">
        <v>219</v>
      </c>
      <c r="B43" s="6" t="s">
        <v>221</v>
      </c>
      <c r="C43" s="8" t="s">
        <v>197</v>
      </c>
      <c r="D43" s="6">
        <v>25.0</v>
      </c>
      <c r="E43" s="6" t="s">
        <v>96</v>
      </c>
      <c r="F43" s="6">
        <v>6.0</v>
      </c>
    </row>
    <row r="44" ht="15.0" customHeight="1">
      <c r="A44" s="6" t="s">
        <v>226</v>
      </c>
      <c r="B44" s="6" t="s">
        <v>228</v>
      </c>
      <c r="C44" s="8" t="s">
        <v>197</v>
      </c>
      <c r="D44" s="6">
        <v>30.0</v>
      </c>
      <c r="E44" s="6" t="s">
        <v>96</v>
      </c>
      <c r="F44" s="6">
        <v>9.0</v>
      </c>
    </row>
    <row r="45" ht="15.0" customHeight="1">
      <c r="A45" s="6" t="s">
        <v>233</v>
      </c>
      <c r="B45" s="6" t="s">
        <v>235</v>
      </c>
      <c r="C45" s="8" t="s">
        <v>197</v>
      </c>
      <c r="D45" s="6">
        <v>32.0</v>
      </c>
      <c r="E45" s="6" t="s">
        <v>96</v>
      </c>
      <c r="F45" s="6">
        <v>2.0</v>
      </c>
    </row>
    <row r="46" ht="15.0" customHeight="1">
      <c r="A46" s="6" t="s">
        <v>239</v>
      </c>
      <c r="B46" s="6" t="s">
        <v>241</v>
      </c>
      <c r="C46" s="8" t="s">
        <v>197</v>
      </c>
      <c r="D46" s="6">
        <v>35.0</v>
      </c>
      <c r="E46" s="6" t="s">
        <v>96</v>
      </c>
      <c r="F46" s="6">
        <v>14.0</v>
      </c>
    </row>
    <row r="47" ht="15.0" customHeight="1">
      <c r="A47" s="6" t="s">
        <v>245</v>
      </c>
      <c r="B47" s="6" t="s">
        <v>247</v>
      </c>
      <c r="C47" s="8" t="s">
        <v>197</v>
      </c>
      <c r="D47" s="6">
        <v>40.0</v>
      </c>
      <c r="E47" s="6" t="s">
        <v>96</v>
      </c>
      <c r="F47" s="6">
        <v>9.0</v>
      </c>
    </row>
    <row r="48" ht="15.0" customHeight="1">
      <c r="A48" s="6" t="s">
        <v>249</v>
      </c>
      <c r="B48" s="6" t="s">
        <v>119</v>
      </c>
      <c r="C48" s="8" t="s">
        <v>117</v>
      </c>
      <c r="D48" s="6"/>
      <c r="E48" s="6"/>
      <c r="F48" s="6">
        <v>5.0</v>
      </c>
    </row>
    <row r="49" ht="15.0" customHeight="1">
      <c r="A49" s="6" t="s">
        <v>253</v>
      </c>
      <c r="B49" s="6" t="s">
        <v>254</v>
      </c>
      <c r="C49" s="8" t="s">
        <v>220</v>
      </c>
      <c r="D49" s="6">
        <v>200.0</v>
      </c>
      <c r="E49" s="6" t="s">
        <v>96</v>
      </c>
      <c r="F49" s="6">
        <v>1.0</v>
      </c>
    </row>
    <row r="50" ht="15.0" customHeight="1">
      <c r="A50" s="6" t="s">
        <v>258</v>
      </c>
      <c r="B50" s="6" t="s">
        <v>259</v>
      </c>
      <c r="C50" s="8" t="s">
        <v>220</v>
      </c>
      <c r="D50" s="6">
        <v>210.0</v>
      </c>
      <c r="E50" s="6" t="s">
        <v>96</v>
      </c>
      <c r="F50" s="6">
        <v>48.0</v>
      </c>
    </row>
    <row r="51" ht="15.0" customHeight="1">
      <c r="A51" s="6" t="s">
        <v>263</v>
      </c>
      <c r="B51" s="6" t="s">
        <v>264</v>
      </c>
      <c r="C51" s="8" t="s">
        <v>220</v>
      </c>
      <c r="D51" s="6">
        <v>220.0</v>
      </c>
      <c r="E51" s="6" t="s">
        <v>96</v>
      </c>
      <c r="F51" s="6">
        <v>10.0</v>
      </c>
    </row>
    <row r="52" ht="15.0" customHeight="1">
      <c r="A52" s="6" t="s">
        <v>268</v>
      </c>
      <c r="B52" s="6" t="s">
        <v>269</v>
      </c>
      <c r="C52" s="8" t="s">
        <v>220</v>
      </c>
      <c r="D52" s="6">
        <v>230.0</v>
      </c>
      <c r="E52" s="6" t="s">
        <v>96</v>
      </c>
      <c r="F52" s="6">
        <v>1.0</v>
      </c>
    </row>
    <row r="53" ht="15.0" customHeight="1">
      <c r="A53" s="6" t="s">
        <v>273</v>
      </c>
      <c r="B53" s="6" t="s">
        <v>274</v>
      </c>
      <c r="C53" s="8" t="s">
        <v>220</v>
      </c>
      <c r="D53" s="6">
        <v>235.0</v>
      </c>
      <c r="E53" s="6" t="s">
        <v>96</v>
      </c>
      <c r="F53" s="6">
        <v>23.0</v>
      </c>
    </row>
    <row r="54" ht="15.0" customHeight="1">
      <c r="A54" s="6" t="s">
        <v>278</v>
      </c>
      <c r="B54" s="6" t="s">
        <v>279</v>
      </c>
      <c r="C54" s="8" t="s">
        <v>220</v>
      </c>
      <c r="D54" s="6">
        <v>250.0</v>
      </c>
      <c r="E54" s="6" t="s">
        <v>96</v>
      </c>
      <c r="F54" s="6">
        <v>10.0</v>
      </c>
    </row>
    <row r="55" ht="15.0" customHeight="1">
      <c r="A55" s="6" t="s">
        <v>283</v>
      </c>
      <c r="B55" s="6" t="s">
        <v>284</v>
      </c>
      <c r="C55" s="8" t="s">
        <v>220</v>
      </c>
      <c r="D55" s="6">
        <v>50.0</v>
      </c>
      <c r="E55" s="6" t="s">
        <v>96</v>
      </c>
      <c r="F55" s="6">
        <v>12.0</v>
      </c>
    </row>
    <row r="56" ht="15.0" customHeight="1">
      <c r="A56" s="6" t="s">
        <v>287</v>
      </c>
      <c r="B56" s="6" t="s">
        <v>132</v>
      </c>
      <c r="C56" s="8" t="s">
        <v>131</v>
      </c>
      <c r="D56" s="6"/>
      <c r="E56" s="6"/>
      <c r="F56" s="6">
        <v>6.0</v>
      </c>
    </row>
    <row r="57" ht="15.0" customHeight="1">
      <c r="A57" s="6" t="s">
        <v>290</v>
      </c>
      <c r="B57" s="6" t="s">
        <v>291</v>
      </c>
      <c r="C57" s="8" t="s">
        <v>134</v>
      </c>
      <c r="D57" s="6">
        <v>10.0</v>
      </c>
      <c r="E57" s="6" t="s">
        <v>59</v>
      </c>
      <c r="F57" s="6">
        <v>2.0</v>
      </c>
    </row>
    <row r="58" ht="15.0" customHeight="1">
      <c r="A58" s="6" t="s">
        <v>294</v>
      </c>
      <c r="B58" s="6" t="s">
        <v>296</v>
      </c>
      <c r="C58" s="8" t="s">
        <v>134</v>
      </c>
      <c r="D58" s="6">
        <v>2.0</v>
      </c>
      <c r="E58" s="6" t="s">
        <v>59</v>
      </c>
      <c r="F58" s="6">
        <v>2.0</v>
      </c>
    </row>
    <row r="59" ht="15.0" customHeight="1">
      <c r="A59" s="6" t="s">
        <v>299</v>
      </c>
      <c r="B59" s="6" t="s">
        <v>300</v>
      </c>
      <c r="C59" s="8" t="s">
        <v>134</v>
      </c>
      <c r="D59" s="6">
        <v>6.0</v>
      </c>
      <c r="E59" s="6" t="s">
        <v>59</v>
      </c>
      <c r="F59" s="6">
        <v>3.0</v>
      </c>
    </row>
    <row r="60" ht="15.0" customHeight="1">
      <c r="A60" s="6" t="s">
        <v>304</v>
      </c>
      <c r="B60" s="6" t="s">
        <v>305</v>
      </c>
      <c r="C60" s="8" t="s">
        <v>134</v>
      </c>
      <c r="D60" s="6">
        <v>8.0</v>
      </c>
      <c r="E60" s="6" t="s">
        <v>59</v>
      </c>
      <c r="F60" s="6">
        <v>3.0</v>
      </c>
    </row>
    <row r="61" ht="15.0" customHeight="1">
      <c r="A61" s="6" t="s">
        <v>309</v>
      </c>
      <c r="B61" s="6" t="s">
        <v>310</v>
      </c>
      <c r="C61" s="8" t="s">
        <v>140</v>
      </c>
      <c r="D61" s="6">
        <v>14.0</v>
      </c>
      <c r="E61" s="6" t="s">
        <v>59</v>
      </c>
      <c r="F61" s="6">
        <v>1.0</v>
      </c>
    </row>
    <row r="62" ht="15.0" customHeight="1">
      <c r="A62" s="6" t="s">
        <v>314</v>
      </c>
      <c r="B62" s="6" t="s">
        <v>315</v>
      </c>
      <c r="C62" s="8" t="s">
        <v>128</v>
      </c>
      <c r="D62" s="6">
        <v>1.0</v>
      </c>
      <c r="E62" s="6" t="s">
        <v>59</v>
      </c>
      <c r="F62" s="6">
        <v>1.0</v>
      </c>
    </row>
    <row r="63" ht="15.0" customHeight="1">
      <c r="A63" s="6" t="s">
        <v>318</v>
      </c>
      <c r="B63" s="6" t="s">
        <v>319</v>
      </c>
      <c r="C63" s="8" t="s">
        <v>128</v>
      </c>
      <c r="D63" s="6">
        <v>2.0</v>
      </c>
      <c r="E63" s="6" t="s">
        <v>59</v>
      </c>
      <c r="F63" s="6">
        <v>5.0</v>
      </c>
    </row>
    <row r="64" ht="15.0" customHeight="1">
      <c r="A64" s="6" t="s">
        <v>322</v>
      </c>
      <c r="B64" s="6" t="s">
        <v>323</v>
      </c>
      <c r="C64" s="8" t="s">
        <v>128</v>
      </c>
      <c r="D64" s="6">
        <v>6.0</v>
      </c>
      <c r="E64" s="6" t="s">
        <v>59</v>
      </c>
      <c r="F64" s="6">
        <v>3.0</v>
      </c>
    </row>
    <row r="65" ht="15.0" customHeight="1">
      <c r="A65" s="6" t="s">
        <v>326</v>
      </c>
      <c r="B65" s="6" t="s">
        <v>152</v>
      </c>
      <c r="C65" s="8" t="s">
        <v>150</v>
      </c>
      <c r="D65" s="6"/>
      <c r="E65" s="6"/>
      <c r="F65" s="6">
        <v>2.0</v>
      </c>
    </row>
    <row r="66" ht="15.0" customHeight="1">
      <c r="A66" s="6" t="s">
        <v>330</v>
      </c>
      <c r="B66" s="6" t="s">
        <v>331</v>
      </c>
      <c r="C66" s="8" t="s">
        <v>150</v>
      </c>
      <c r="D66" s="6">
        <v>14.0</v>
      </c>
      <c r="E66" s="6" t="s">
        <v>59</v>
      </c>
      <c r="F66" s="6">
        <v>1.0</v>
      </c>
    </row>
    <row r="67" ht="15.0" customHeight="1">
      <c r="A67" s="6" t="s">
        <v>335</v>
      </c>
      <c r="B67" s="6" t="s">
        <v>336</v>
      </c>
      <c r="C67" s="8" t="s">
        <v>150</v>
      </c>
      <c r="D67" s="6">
        <v>18.0</v>
      </c>
      <c r="E67" s="6" t="s">
        <v>59</v>
      </c>
      <c r="F67" s="6">
        <v>1.0</v>
      </c>
    </row>
    <row r="68" ht="15.0" customHeight="1">
      <c r="A68" s="6" t="s">
        <v>340</v>
      </c>
      <c r="B68" s="6" t="s">
        <v>341</v>
      </c>
      <c r="C68" s="8" t="s">
        <v>150</v>
      </c>
      <c r="D68" s="6">
        <v>2.0</v>
      </c>
      <c r="E68" s="6" t="s">
        <v>59</v>
      </c>
      <c r="F68" s="6">
        <v>2.0</v>
      </c>
    </row>
    <row r="69" ht="15.0" customHeight="1">
      <c r="A69" s="6" t="s">
        <v>342</v>
      </c>
      <c r="B69" s="6" t="s">
        <v>343</v>
      </c>
      <c r="C69" s="8" t="s">
        <v>150</v>
      </c>
      <c r="D69" s="6">
        <v>6.0</v>
      </c>
      <c r="E69" s="6" t="s">
        <v>59</v>
      </c>
      <c r="F69" s="6">
        <v>1.0</v>
      </c>
    </row>
    <row r="70" ht="15.0" customHeight="1">
      <c r="A70" s="6" t="s">
        <v>344</v>
      </c>
      <c r="B70" s="6" t="s">
        <v>345</v>
      </c>
      <c r="C70" s="8" t="s">
        <v>150</v>
      </c>
      <c r="D70" s="6">
        <v>8.0</v>
      </c>
      <c r="E70" s="6" t="s">
        <v>59</v>
      </c>
      <c r="F70" s="6">
        <v>1.0</v>
      </c>
    </row>
    <row r="71" ht="15.0" customHeight="1">
      <c r="A71" s="6" t="s">
        <v>346</v>
      </c>
      <c r="B71" s="6" t="s">
        <v>347</v>
      </c>
      <c r="C71" s="8" t="s">
        <v>205</v>
      </c>
      <c r="D71" s="6">
        <v>50.0</v>
      </c>
      <c r="E71" s="6" t="s">
        <v>96</v>
      </c>
      <c r="F71" s="6">
        <v>14.0</v>
      </c>
    </row>
    <row r="72" ht="15.0" customHeight="1">
      <c r="A72" s="6" t="s">
        <v>348</v>
      </c>
      <c r="B72" s="6" t="s">
        <v>157</v>
      </c>
      <c r="C72" s="8" t="s">
        <v>156</v>
      </c>
      <c r="D72" s="6"/>
      <c r="E72" s="6"/>
      <c r="F72" s="6">
        <v>2.0</v>
      </c>
    </row>
    <row r="73" ht="15.0" customHeight="1">
      <c r="A73" s="6" t="s">
        <v>349</v>
      </c>
      <c r="B73" s="6" t="s">
        <v>162</v>
      </c>
      <c r="C73" s="8" t="s">
        <v>160</v>
      </c>
      <c r="D73" s="6"/>
      <c r="E73" s="6"/>
      <c r="F73" s="6">
        <v>3.0</v>
      </c>
    </row>
    <row r="74" ht="15.0" customHeight="1">
      <c r="A74" s="6" t="s">
        <v>353</v>
      </c>
      <c r="B74" s="6" t="s">
        <v>170</v>
      </c>
      <c r="C74" s="8" t="s">
        <v>169</v>
      </c>
      <c r="D74" s="6"/>
      <c r="E74" s="6"/>
      <c r="F74" s="6">
        <v>2.0</v>
      </c>
    </row>
    <row r="75" ht="15.0" customHeight="1">
      <c r="A75" s="6" t="s">
        <v>357</v>
      </c>
      <c r="B75" s="6" t="s">
        <v>178</v>
      </c>
      <c r="C75" s="8" t="s">
        <v>175</v>
      </c>
      <c r="D75" s="6"/>
      <c r="E75" s="6"/>
      <c r="F75" s="6">
        <v>1.0</v>
      </c>
    </row>
    <row r="76" ht="15.0" customHeight="1">
      <c r="A76" s="6" t="s">
        <v>361</v>
      </c>
      <c r="B76" s="6" t="s">
        <v>185</v>
      </c>
      <c r="C76" s="8" t="s">
        <v>183</v>
      </c>
      <c r="D76" s="6"/>
      <c r="E76" s="6"/>
      <c r="F76" s="6">
        <v>2.0</v>
      </c>
    </row>
    <row r="77" ht="15.0" customHeight="1">
      <c r="A77" s="6" t="s">
        <v>364</v>
      </c>
      <c r="B77" s="6" t="s">
        <v>365</v>
      </c>
      <c r="C77" s="8" t="s">
        <v>229</v>
      </c>
      <c r="D77" s="6">
        <v>100.0</v>
      </c>
      <c r="E77" s="6" t="s">
        <v>96</v>
      </c>
      <c r="F77" s="6">
        <v>5.0</v>
      </c>
    </row>
    <row r="78" ht="15.0" customHeight="1">
      <c r="A78" s="6" t="s">
        <v>368</v>
      </c>
      <c r="B78" s="6" t="s">
        <v>369</v>
      </c>
      <c r="C78" s="8" t="s">
        <v>229</v>
      </c>
      <c r="D78" s="6">
        <v>25.0</v>
      </c>
      <c r="E78" s="6" t="s">
        <v>96</v>
      </c>
      <c r="F78" s="6">
        <v>2.0</v>
      </c>
    </row>
    <row r="79" ht="15.0" customHeight="1">
      <c r="A79" s="6" t="s">
        <v>372</v>
      </c>
      <c r="B79" s="6" t="s">
        <v>374</v>
      </c>
      <c r="C79" s="8" t="s">
        <v>229</v>
      </c>
      <c r="D79" s="6">
        <v>30.0</v>
      </c>
      <c r="E79" s="6" t="s">
        <v>96</v>
      </c>
      <c r="F79" s="6">
        <v>1.0</v>
      </c>
    </row>
    <row r="80" ht="15.0" customHeight="1">
      <c r="A80" s="6" t="s">
        <v>377</v>
      </c>
      <c r="B80" s="6" t="s">
        <v>378</v>
      </c>
      <c r="C80" s="8" t="s">
        <v>229</v>
      </c>
      <c r="D80" s="6">
        <v>50.0</v>
      </c>
      <c r="E80" s="6" t="s">
        <v>96</v>
      </c>
      <c r="F80" s="6">
        <v>22.0</v>
      </c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  <row r="237" ht="15.75" customHeight="1">
      <c r="A237" s="3"/>
      <c r="B237" s="3"/>
      <c r="C237" s="3"/>
      <c r="D237" s="3"/>
      <c r="E237" s="3"/>
      <c r="F237" s="3"/>
    </row>
    <row r="238" ht="15.75" customHeight="1">
      <c r="A238" s="3"/>
      <c r="B238" s="3"/>
      <c r="C238" s="3"/>
      <c r="D238" s="3"/>
      <c r="E238" s="3"/>
      <c r="F238" s="3"/>
    </row>
    <row r="239" ht="15.75" customHeight="1">
      <c r="A239" s="3"/>
      <c r="B239" s="3"/>
      <c r="C239" s="3"/>
      <c r="D239" s="3"/>
      <c r="E239" s="3"/>
      <c r="F239" s="3"/>
    </row>
    <row r="240" ht="15.75" customHeight="1">
      <c r="A240" s="3"/>
      <c r="B240" s="3"/>
      <c r="C240" s="3"/>
      <c r="D240" s="3"/>
      <c r="E240" s="3"/>
      <c r="F240" s="3"/>
    </row>
    <row r="241" ht="15.75" customHeight="1">
      <c r="A241" s="3"/>
      <c r="B241" s="3"/>
      <c r="C241" s="3"/>
      <c r="D241" s="3"/>
      <c r="E241" s="3"/>
      <c r="F241" s="3"/>
    </row>
    <row r="242" ht="15.75" customHeight="1">
      <c r="A242" s="3"/>
      <c r="B242" s="3"/>
      <c r="C242" s="3"/>
      <c r="D242" s="3"/>
      <c r="E242" s="3"/>
      <c r="F242" s="3"/>
    </row>
    <row r="243" ht="15.75" customHeight="1">
      <c r="A243" s="3"/>
      <c r="B243" s="3"/>
      <c r="C243" s="3"/>
      <c r="D243" s="3"/>
      <c r="E243" s="3"/>
      <c r="F243" s="3"/>
    </row>
    <row r="244" ht="15.75" customHeight="1">
      <c r="A244" s="3"/>
      <c r="B244" s="3"/>
      <c r="C244" s="3"/>
      <c r="D244" s="3"/>
      <c r="E244" s="3"/>
      <c r="F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  <row r="999" ht="15.75" customHeight="1">
      <c r="A999" s="3"/>
      <c r="B999" s="3"/>
      <c r="C999" s="3"/>
      <c r="D999" s="3"/>
      <c r="E999" s="3"/>
      <c r="F999" s="3"/>
    </row>
    <row r="1000" ht="15.75" customHeight="1">
      <c r="A1000" s="3"/>
      <c r="B1000" s="3"/>
      <c r="C1000" s="3"/>
      <c r="D1000" s="3"/>
      <c r="E1000" s="3"/>
      <c r="F1000" s="3"/>
    </row>
  </sheetData>
  <autoFilter ref="$A$1:$F$80"/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2.0"/>
    <col customWidth="1" min="3" max="3" width="34.0"/>
    <col customWidth="1" min="4" max="4" width="45.0"/>
    <col customWidth="1" min="5" max="5" width="10.0"/>
    <col customWidth="1" min="6" max="6" width="18.0"/>
    <col customWidth="1" min="7" max="26" width="8.71"/>
  </cols>
  <sheetData>
    <row r="1" ht="15.0" customHeight="1">
      <c r="A1" s="2" t="s">
        <v>0</v>
      </c>
      <c r="B1" s="2" t="s">
        <v>138</v>
      </c>
      <c r="C1" s="2" t="s">
        <v>142</v>
      </c>
      <c r="D1" s="2" t="s">
        <v>144</v>
      </c>
      <c r="E1" s="2" t="s">
        <v>145</v>
      </c>
      <c r="F1" s="2" t="s">
        <v>148</v>
      </c>
    </row>
    <row r="2" ht="15.0" customHeight="1">
      <c r="A2" s="6" t="s">
        <v>153</v>
      </c>
      <c r="B2" s="8" t="s">
        <v>11</v>
      </c>
      <c r="C2" s="6" t="s">
        <v>163</v>
      </c>
      <c r="D2" s="6" t="s">
        <v>165</v>
      </c>
      <c r="E2" s="6" t="s">
        <v>167</v>
      </c>
      <c r="F2" s="6" t="s">
        <v>168</v>
      </c>
    </row>
    <row r="3" ht="15.0" customHeight="1">
      <c r="A3" s="6" t="s">
        <v>171</v>
      </c>
      <c r="B3" s="8" t="s">
        <v>11</v>
      </c>
      <c r="C3" s="6" t="s">
        <v>174</v>
      </c>
      <c r="D3" s="6" t="s">
        <v>174</v>
      </c>
      <c r="E3" s="6" t="s">
        <v>167</v>
      </c>
      <c r="F3" s="6" t="s">
        <v>176</v>
      </c>
    </row>
    <row r="4" ht="15.0" customHeight="1">
      <c r="A4" s="6" t="s">
        <v>180</v>
      </c>
      <c r="B4" s="8" t="s">
        <v>11</v>
      </c>
      <c r="C4" s="6" t="s">
        <v>181</v>
      </c>
      <c r="D4" s="6" t="s">
        <v>181</v>
      </c>
      <c r="E4" s="6" t="s">
        <v>184</v>
      </c>
      <c r="F4" s="6" t="s">
        <v>176</v>
      </c>
    </row>
    <row r="5" ht="15.0" customHeight="1">
      <c r="A5" s="6" t="s">
        <v>186</v>
      </c>
      <c r="B5" s="8" t="s">
        <v>11</v>
      </c>
      <c r="C5" s="6" t="s">
        <v>188</v>
      </c>
      <c r="D5" s="6" t="s">
        <v>189</v>
      </c>
      <c r="E5" s="6" t="s">
        <v>167</v>
      </c>
      <c r="F5" s="6" t="s">
        <v>176</v>
      </c>
    </row>
    <row r="6" ht="15.0" customHeight="1">
      <c r="A6" s="6" t="s">
        <v>192</v>
      </c>
      <c r="B6" s="8" t="s">
        <v>11</v>
      </c>
      <c r="C6" s="6" t="s">
        <v>196</v>
      </c>
      <c r="D6" s="6" t="s">
        <v>196</v>
      </c>
      <c r="E6" s="6" t="s">
        <v>167</v>
      </c>
      <c r="F6" s="6" t="s">
        <v>176</v>
      </c>
    </row>
    <row r="7" ht="15.0" customHeight="1">
      <c r="A7" s="6" t="s">
        <v>199</v>
      </c>
      <c r="B7" s="8" t="s">
        <v>11</v>
      </c>
      <c r="C7" s="6" t="s">
        <v>201</v>
      </c>
      <c r="D7" s="6" t="s">
        <v>203</v>
      </c>
      <c r="E7" s="6" t="s">
        <v>167</v>
      </c>
      <c r="F7" s="6" t="s">
        <v>176</v>
      </c>
    </row>
    <row r="8" ht="15.0" customHeight="1">
      <c r="A8" s="6" t="s">
        <v>206</v>
      </c>
      <c r="B8" s="8" t="s">
        <v>11</v>
      </c>
      <c r="C8" s="6" t="s">
        <v>210</v>
      </c>
      <c r="D8" s="6" t="s">
        <v>211</v>
      </c>
      <c r="E8" s="6"/>
      <c r="F8" s="6"/>
    </row>
    <row r="9" ht="15.0" customHeight="1">
      <c r="A9" s="6" t="s">
        <v>215</v>
      </c>
      <c r="B9" s="8" t="s">
        <v>11</v>
      </c>
      <c r="C9" s="6" t="s">
        <v>217</v>
      </c>
      <c r="D9" s="6" t="s">
        <v>217</v>
      </c>
      <c r="E9" s="6"/>
      <c r="F9" s="6"/>
    </row>
    <row r="10" ht="15.0" customHeight="1">
      <c r="A10" s="6" t="s">
        <v>223</v>
      </c>
      <c r="B10" s="8" t="s">
        <v>11</v>
      </c>
      <c r="C10" s="6" t="s">
        <v>224</v>
      </c>
      <c r="D10" s="6" t="s">
        <v>227</v>
      </c>
      <c r="E10" s="6"/>
      <c r="F10" s="6"/>
    </row>
    <row r="11" ht="15.0" customHeight="1">
      <c r="A11" s="6" t="s">
        <v>230</v>
      </c>
      <c r="B11" s="8" t="s">
        <v>30</v>
      </c>
      <c r="C11" s="6" t="s">
        <v>232</v>
      </c>
      <c r="D11" s="6" t="s">
        <v>234</v>
      </c>
      <c r="E11" s="6" t="s">
        <v>167</v>
      </c>
      <c r="F11" s="6" t="s">
        <v>237</v>
      </c>
    </row>
    <row r="12" ht="15.0" customHeight="1">
      <c r="A12" s="6" t="s">
        <v>238</v>
      </c>
      <c r="B12" s="8" t="s">
        <v>30</v>
      </c>
      <c r="C12" s="6" t="s">
        <v>240</v>
      </c>
      <c r="D12" s="6" t="s">
        <v>242</v>
      </c>
      <c r="E12" s="6" t="s">
        <v>167</v>
      </c>
      <c r="F12" s="6" t="s">
        <v>243</v>
      </c>
    </row>
    <row r="13" ht="15.0" customHeight="1">
      <c r="A13" s="6" t="s">
        <v>244</v>
      </c>
      <c r="B13" s="8" t="s">
        <v>30</v>
      </c>
      <c r="C13" s="6" t="s">
        <v>246</v>
      </c>
      <c r="D13" s="6" t="s">
        <v>248</v>
      </c>
      <c r="E13" s="6" t="s">
        <v>167</v>
      </c>
      <c r="F13" s="6" t="s">
        <v>237</v>
      </c>
    </row>
    <row r="14" ht="15.0" customHeight="1">
      <c r="A14" s="6" t="s">
        <v>250</v>
      </c>
      <c r="B14" s="8" t="s">
        <v>30</v>
      </c>
      <c r="C14" s="6" t="s">
        <v>251</v>
      </c>
      <c r="D14" s="6" t="s">
        <v>252</v>
      </c>
      <c r="E14" s="6" t="s">
        <v>167</v>
      </c>
      <c r="F14" s="6" t="s">
        <v>237</v>
      </c>
    </row>
    <row r="15" ht="15.0" customHeight="1">
      <c r="A15" s="6" t="s">
        <v>255</v>
      </c>
      <c r="B15" s="8" t="s">
        <v>30</v>
      </c>
      <c r="C15" s="6" t="s">
        <v>256</v>
      </c>
      <c r="D15" s="6" t="s">
        <v>257</v>
      </c>
      <c r="E15" s="6" t="s">
        <v>167</v>
      </c>
      <c r="F15" s="6" t="s">
        <v>237</v>
      </c>
    </row>
    <row r="16" ht="15.0" customHeight="1">
      <c r="A16" s="6" t="s">
        <v>260</v>
      </c>
      <c r="B16" s="8" t="s">
        <v>30</v>
      </c>
      <c r="C16" s="6" t="s">
        <v>261</v>
      </c>
      <c r="D16" s="6" t="s">
        <v>262</v>
      </c>
      <c r="E16" s="6" t="s">
        <v>167</v>
      </c>
      <c r="F16" s="6" t="s">
        <v>168</v>
      </c>
    </row>
    <row r="17" ht="15.0" customHeight="1">
      <c r="A17" s="6" t="s">
        <v>265</v>
      </c>
      <c r="B17" s="8" t="s">
        <v>30</v>
      </c>
      <c r="C17" s="6" t="s">
        <v>266</v>
      </c>
      <c r="D17" s="6" t="s">
        <v>267</v>
      </c>
      <c r="E17" s="6" t="s">
        <v>167</v>
      </c>
      <c r="F17" s="6" t="s">
        <v>237</v>
      </c>
    </row>
    <row r="18" ht="15.0" customHeight="1">
      <c r="A18" s="6" t="s">
        <v>270</v>
      </c>
      <c r="B18" s="8" t="s">
        <v>30</v>
      </c>
      <c r="C18" s="6" t="s">
        <v>271</v>
      </c>
      <c r="D18" s="6" t="s">
        <v>272</v>
      </c>
      <c r="E18" s="6" t="s">
        <v>184</v>
      </c>
      <c r="F18" s="6" t="s">
        <v>237</v>
      </c>
    </row>
    <row r="19" ht="15.0" customHeight="1">
      <c r="A19" s="6" t="s">
        <v>275</v>
      </c>
      <c r="B19" s="8" t="s">
        <v>30</v>
      </c>
      <c r="C19" s="6" t="s">
        <v>276</v>
      </c>
      <c r="D19" s="6" t="s">
        <v>277</v>
      </c>
      <c r="E19" s="6" t="s">
        <v>167</v>
      </c>
      <c r="F19" s="6" t="s">
        <v>243</v>
      </c>
    </row>
    <row r="20" ht="15.0" customHeight="1">
      <c r="A20" s="6" t="s">
        <v>280</v>
      </c>
      <c r="B20" s="8" t="s">
        <v>30</v>
      </c>
      <c r="C20" s="6" t="s">
        <v>281</v>
      </c>
      <c r="D20" s="6" t="s">
        <v>282</v>
      </c>
      <c r="E20" s="6" t="s">
        <v>167</v>
      </c>
      <c r="F20" s="6" t="s">
        <v>237</v>
      </c>
    </row>
    <row r="21" ht="15.0" customHeight="1">
      <c r="A21" s="6" t="s">
        <v>285</v>
      </c>
      <c r="B21" s="8" t="s">
        <v>30</v>
      </c>
      <c r="C21" s="6" t="s">
        <v>286</v>
      </c>
      <c r="D21" s="6" t="s">
        <v>288</v>
      </c>
      <c r="E21" s="6" t="s">
        <v>167</v>
      </c>
      <c r="F21" s="6" t="s">
        <v>243</v>
      </c>
    </row>
    <row r="22" ht="15.0" customHeight="1">
      <c r="A22" s="6" t="s">
        <v>289</v>
      </c>
      <c r="B22" s="8" t="s">
        <v>30</v>
      </c>
      <c r="C22" s="6" t="s">
        <v>292</v>
      </c>
      <c r="D22" s="6" t="s">
        <v>293</v>
      </c>
      <c r="E22" s="6" t="s">
        <v>167</v>
      </c>
      <c r="F22" s="6" t="s">
        <v>237</v>
      </c>
    </row>
    <row r="23" ht="15.0" customHeight="1">
      <c r="A23" s="6" t="s">
        <v>295</v>
      </c>
      <c r="B23" s="8" t="s">
        <v>30</v>
      </c>
      <c r="C23" s="6" t="s">
        <v>297</v>
      </c>
      <c r="D23" s="6" t="s">
        <v>298</v>
      </c>
      <c r="E23" s="6" t="s">
        <v>167</v>
      </c>
      <c r="F23" s="6" t="s">
        <v>237</v>
      </c>
    </row>
    <row r="24" ht="15.0" customHeight="1">
      <c r="A24" s="6" t="s">
        <v>301</v>
      </c>
      <c r="B24" s="8" t="s">
        <v>30</v>
      </c>
      <c r="C24" s="6" t="s">
        <v>302</v>
      </c>
      <c r="D24" s="6" t="s">
        <v>303</v>
      </c>
      <c r="E24" s="6" t="s">
        <v>167</v>
      </c>
      <c r="F24" s="6" t="s">
        <v>237</v>
      </c>
    </row>
    <row r="25" ht="15.0" customHeight="1">
      <c r="A25" s="6" t="s">
        <v>306</v>
      </c>
      <c r="B25" s="8" t="s">
        <v>30</v>
      </c>
      <c r="C25" s="6" t="s">
        <v>307</v>
      </c>
      <c r="D25" s="6" t="s">
        <v>308</v>
      </c>
      <c r="E25" s="6" t="s">
        <v>167</v>
      </c>
      <c r="F25" s="6" t="s">
        <v>168</v>
      </c>
    </row>
    <row r="26" ht="15.0" customHeight="1">
      <c r="A26" s="6" t="s">
        <v>311</v>
      </c>
      <c r="B26" s="8" t="s">
        <v>30</v>
      </c>
      <c r="C26" s="6" t="s">
        <v>312</v>
      </c>
      <c r="D26" s="6" t="s">
        <v>313</v>
      </c>
      <c r="E26" s="6" t="s">
        <v>167</v>
      </c>
      <c r="F26" s="6" t="s">
        <v>237</v>
      </c>
    </row>
    <row r="27" ht="15.0" customHeight="1">
      <c r="A27" s="6" t="s">
        <v>316</v>
      </c>
      <c r="B27" s="8" t="s">
        <v>30</v>
      </c>
      <c r="C27" s="6" t="s">
        <v>317</v>
      </c>
      <c r="D27" s="6" t="s">
        <v>320</v>
      </c>
      <c r="E27" s="6" t="s">
        <v>167</v>
      </c>
      <c r="F27" s="6" t="s">
        <v>237</v>
      </c>
    </row>
    <row r="28" ht="15.0" customHeight="1">
      <c r="A28" s="6" t="s">
        <v>321</v>
      </c>
      <c r="B28" s="8" t="s">
        <v>30</v>
      </c>
      <c r="C28" s="6" t="s">
        <v>324</v>
      </c>
      <c r="D28" s="6" t="s">
        <v>325</v>
      </c>
      <c r="E28" s="6" t="s">
        <v>184</v>
      </c>
      <c r="F28" s="6" t="s">
        <v>176</v>
      </c>
    </row>
    <row r="29" ht="15.0" customHeight="1">
      <c r="A29" s="6" t="s">
        <v>327</v>
      </c>
      <c r="B29" s="8" t="s">
        <v>30</v>
      </c>
      <c r="C29" s="6" t="s">
        <v>328</v>
      </c>
      <c r="D29" s="6" t="s">
        <v>329</v>
      </c>
      <c r="E29" s="6" t="s">
        <v>167</v>
      </c>
      <c r="F29" s="6" t="s">
        <v>168</v>
      </c>
    </row>
    <row r="30" ht="15.0" customHeight="1">
      <c r="A30" s="6" t="s">
        <v>332</v>
      </c>
      <c r="B30" s="8" t="s">
        <v>30</v>
      </c>
      <c r="C30" s="6" t="s">
        <v>333</v>
      </c>
      <c r="D30" s="6" t="s">
        <v>334</v>
      </c>
      <c r="E30" s="6" t="s">
        <v>167</v>
      </c>
      <c r="F30" s="6" t="s">
        <v>243</v>
      </c>
    </row>
    <row r="31" ht="15.0" customHeight="1">
      <c r="A31" s="6" t="s">
        <v>337</v>
      </c>
      <c r="B31" s="8" t="s">
        <v>30</v>
      </c>
      <c r="C31" s="6" t="s">
        <v>338</v>
      </c>
      <c r="D31" s="6" t="s">
        <v>339</v>
      </c>
      <c r="E31" s="6" t="s">
        <v>167</v>
      </c>
      <c r="F31" s="6" t="s">
        <v>237</v>
      </c>
    </row>
    <row r="32" ht="15.0" customHeight="1">
      <c r="A32" s="6" t="s">
        <v>350</v>
      </c>
      <c r="B32" s="8" t="s">
        <v>30</v>
      </c>
      <c r="C32" s="6" t="s">
        <v>351</v>
      </c>
      <c r="D32" s="6" t="s">
        <v>352</v>
      </c>
      <c r="E32" s="6" t="s">
        <v>167</v>
      </c>
      <c r="F32" s="6" t="s">
        <v>237</v>
      </c>
    </row>
    <row r="33" ht="15.0" customHeight="1">
      <c r="A33" s="6" t="s">
        <v>354</v>
      </c>
      <c r="B33" s="8" t="s">
        <v>30</v>
      </c>
      <c r="C33" s="6" t="s">
        <v>355</v>
      </c>
      <c r="D33" s="6" t="s">
        <v>356</v>
      </c>
      <c r="E33" s="6" t="s">
        <v>167</v>
      </c>
      <c r="F33" s="6" t="s">
        <v>237</v>
      </c>
    </row>
    <row r="34" ht="15.0" customHeight="1">
      <c r="A34" s="6" t="s">
        <v>358</v>
      </c>
      <c r="B34" s="8" t="s">
        <v>30</v>
      </c>
      <c r="C34" s="6" t="s">
        <v>359</v>
      </c>
      <c r="D34" s="6" t="s">
        <v>360</v>
      </c>
      <c r="E34" s="6" t="s">
        <v>167</v>
      </c>
      <c r="F34" s="6" t="s">
        <v>237</v>
      </c>
    </row>
    <row r="35" ht="15.0" customHeight="1">
      <c r="A35" s="6" t="s">
        <v>362</v>
      </c>
      <c r="B35" s="8" t="s">
        <v>30</v>
      </c>
      <c r="C35" s="6" t="s">
        <v>363</v>
      </c>
      <c r="D35" s="6" t="s">
        <v>366</v>
      </c>
      <c r="E35" s="6" t="s">
        <v>167</v>
      </c>
      <c r="F35" s="6" t="s">
        <v>237</v>
      </c>
    </row>
    <row r="36" ht="15.0" customHeight="1">
      <c r="A36" s="6" t="s">
        <v>367</v>
      </c>
      <c r="B36" s="8" t="s">
        <v>30</v>
      </c>
      <c r="C36" s="6" t="s">
        <v>370</v>
      </c>
      <c r="D36" s="6" t="s">
        <v>371</v>
      </c>
      <c r="E36" s="6" t="s">
        <v>167</v>
      </c>
      <c r="F36" s="6" t="s">
        <v>237</v>
      </c>
    </row>
    <row r="37" ht="15.0" customHeight="1">
      <c r="A37" s="6" t="s">
        <v>373</v>
      </c>
      <c r="B37" s="8" t="s">
        <v>30</v>
      </c>
      <c r="C37" s="6" t="s">
        <v>375</v>
      </c>
      <c r="D37" s="6" t="s">
        <v>376</v>
      </c>
      <c r="E37" s="6" t="s">
        <v>167</v>
      </c>
      <c r="F37" s="6" t="s">
        <v>237</v>
      </c>
    </row>
    <row r="38" ht="15.0" customHeight="1">
      <c r="A38" s="6" t="s">
        <v>379</v>
      </c>
      <c r="B38" s="8" t="s">
        <v>30</v>
      </c>
      <c r="C38" s="6" t="s">
        <v>380</v>
      </c>
      <c r="D38" s="6" t="s">
        <v>381</v>
      </c>
      <c r="E38" s="6" t="s">
        <v>167</v>
      </c>
      <c r="F38" s="6" t="s">
        <v>237</v>
      </c>
    </row>
    <row r="39" ht="15.0" customHeight="1">
      <c r="A39" s="6" t="s">
        <v>382</v>
      </c>
      <c r="B39" s="8" t="s">
        <v>30</v>
      </c>
      <c r="C39" s="6" t="s">
        <v>383</v>
      </c>
      <c r="D39" s="6" t="s">
        <v>384</v>
      </c>
      <c r="E39" s="6" t="s">
        <v>167</v>
      </c>
      <c r="F39" s="6" t="s">
        <v>168</v>
      </c>
    </row>
    <row r="40" ht="15.0" customHeight="1">
      <c r="A40" s="6" t="s">
        <v>385</v>
      </c>
      <c r="B40" s="8" t="s">
        <v>30</v>
      </c>
      <c r="C40" s="6" t="s">
        <v>386</v>
      </c>
      <c r="D40" s="6" t="s">
        <v>387</v>
      </c>
      <c r="E40" s="6" t="s">
        <v>167</v>
      </c>
      <c r="F40" s="6" t="s">
        <v>237</v>
      </c>
    </row>
    <row r="41" ht="15.0" customHeight="1">
      <c r="A41" s="6" t="s">
        <v>388</v>
      </c>
      <c r="B41" s="8" t="s">
        <v>30</v>
      </c>
      <c r="C41" s="6" t="s">
        <v>389</v>
      </c>
      <c r="D41" s="6" t="s">
        <v>390</v>
      </c>
      <c r="E41" s="6" t="s">
        <v>167</v>
      </c>
      <c r="F41" s="6" t="s">
        <v>168</v>
      </c>
    </row>
    <row r="42" ht="15.0" customHeight="1">
      <c r="A42" s="6" t="s">
        <v>391</v>
      </c>
      <c r="B42" s="8" t="s">
        <v>30</v>
      </c>
      <c r="C42" s="6" t="s">
        <v>392</v>
      </c>
      <c r="D42" s="6" t="s">
        <v>393</v>
      </c>
      <c r="E42" s="6" t="s">
        <v>167</v>
      </c>
      <c r="F42" s="6" t="s">
        <v>168</v>
      </c>
    </row>
    <row r="43" ht="15.0" customHeight="1">
      <c r="A43" s="6" t="s">
        <v>394</v>
      </c>
      <c r="B43" s="8" t="s">
        <v>30</v>
      </c>
      <c r="C43" s="6" t="s">
        <v>395</v>
      </c>
      <c r="D43" s="6" t="s">
        <v>396</v>
      </c>
      <c r="E43" s="6" t="s">
        <v>167</v>
      </c>
      <c r="F43" s="6" t="s">
        <v>168</v>
      </c>
    </row>
    <row r="44" ht="15.0" customHeight="1">
      <c r="A44" s="6" t="s">
        <v>397</v>
      </c>
      <c r="B44" s="8" t="s">
        <v>30</v>
      </c>
      <c r="C44" s="6" t="s">
        <v>398</v>
      </c>
      <c r="D44" s="6" t="s">
        <v>399</v>
      </c>
      <c r="E44" s="6" t="s">
        <v>167</v>
      </c>
      <c r="F44" s="6" t="s">
        <v>168</v>
      </c>
    </row>
    <row r="45" ht="15.0" customHeight="1">
      <c r="A45" s="6" t="s">
        <v>400</v>
      </c>
      <c r="B45" s="8" t="s">
        <v>30</v>
      </c>
      <c r="C45" s="6" t="s">
        <v>401</v>
      </c>
      <c r="D45" s="6" t="s">
        <v>402</v>
      </c>
      <c r="E45" s="6" t="s">
        <v>167</v>
      </c>
      <c r="F45" s="6" t="s">
        <v>168</v>
      </c>
    </row>
    <row r="46" ht="15.0" customHeight="1">
      <c r="A46" s="6" t="s">
        <v>403</v>
      </c>
      <c r="B46" s="8" t="s">
        <v>30</v>
      </c>
      <c r="C46" s="6" t="s">
        <v>404</v>
      </c>
      <c r="D46" s="6" t="s">
        <v>405</v>
      </c>
      <c r="E46" s="6" t="s">
        <v>167</v>
      </c>
      <c r="F46" s="6" t="s">
        <v>168</v>
      </c>
    </row>
    <row r="47" ht="15.0" customHeight="1">
      <c r="A47" s="6" t="s">
        <v>406</v>
      </c>
      <c r="B47" s="8" t="s">
        <v>30</v>
      </c>
      <c r="C47" s="6" t="s">
        <v>407</v>
      </c>
      <c r="D47" s="6" t="s">
        <v>408</v>
      </c>
      <c r="E47" s="6" t="s">
        <v>167</v>
      </c>
      <c r="F47" s="6" t="s">
        <v>168</v>
      </c>
    </row>
    <row r="48" ht="15.0" customHeight="1">
      <c r="A48" s="6" t="s">
        <v>409</v>
      </c>
      <c r="B48" s="8" t="s">
        <v>30</v>
      </c>
      <c r="C48" s="6" t="s">
        <v>410</v>
      </c>
      <c r="D48" s="6" t="s">
        <v>411</v>
      </c>
      <c r="E48" s="6" t="s">
        <v>167</v>
      </c>
      <c r="F48" s="6" t="s">
        <v>168</v>
      </c>
    </row>
    <row r="49" ht="15.0" customHeight="1">
      <c r="A49" s="6" t="s">
        <v>412</v>
      </c>
      <c r="B49" s="8" t="s">
        <v>30</v>
      </c>
      <c r="C49" s="6" t="s">
        <v>413</v>
      </c>
      <c r="D49" s="6" t="s">
        <v>414</v>
      </c>
      <c r="E49" s="6" t="s">
        <v>167</v>
      </c>
      <c r="F49" s="6" t="s">
        <v>168</v>
      </c>
    </row>
    <row r="50" ht="15.0" customHeight="1">
      <c r="A50" s="6" t="s">
        <v>415</v>
      </c>
      <c r="B50" s="8" t="s">
        <v>30</v>
      </c>
      <c r="C50" s="6" t="s">
        <v>416</v>
      </c>
      <c r="D50" s="6" t="s">
        <v>417</v>
      </c>
      <c r="E50" s="6" t="s">
        <v>167</v>
      </c>
      <c r="F50" s="6" t="s">
        <v>168</v>
      </c>
    </row>
    <row r="51" ht="15.0" customHeight="1">
      <c r="A51" s="6" t="s">
        <v>418</v>
      </c>
      <c r="B51" s="8" t="s">
        <v>30</v>
      </c>
      <c r="C51" s="6" t="s">
        <v>419</v>
      </c>
      <c r="D51" s="6" t="s">
        <v>420</v>
      </c>
      <c r="E51" s="6" t="s">
        <v>167</v>
      </c>
      <c r="F51" s="6" t="s">
        <v>421</v>
      </c>
    </row>
    <row r="52" ht="15.0" customHeight="1">
      <c r="A52" s="6" t="s">
        <v>422</v>
      </c>
      <c r="B52" s="8" t="s">
        <v>30</v>
      </c>
      <c r="C52" s="6" t="s">
        <v>423</v>
      </c>
      <c r="D52" s="6" t="s">
        <v>424</v>
      </c>
      <c r="E52" s="6" t="s">
        <v>167</v>
      </c>
      <c r="F52" s="6" t="s">
        <v>421</v>
      </c>
    </row>
    <row r="53" ht="15.0" customHeight="1">
      <c r="A53" s="6" t="s">
        <v>425</v>
      </c>
      <c r="B53" s="8" t="s">
        <v>25</v>
      </c>
      <c r="C53" s="6" t="s">
        <v>188</v>
      </c>
      <c r="D53" s="6" t="s">
        <v>426</v>
      </c>
      <c r="E53" s="6" t="s">
        <v>167</v>
      </c>
      <c r="F53" s="6" t="s">
        <v>176</v>
      </c>
    </row>
    <row r="54" ht="15.0" customHeight="1">
      <c r="A54" s="6" t="s">
        <v>427</v>
      </c>
      <c r="B54" s="8" t="s">
        <v>25</v>
      </c>
      <c r="C54" s="6" t="s">
        <v>428</v>
      </c>
      <c r="D54" s="6" t="s">
        <v>429</v>
      </c>
      <c r="E54" s="6" t="s">
        <v>167</v>
      </c>
      <c r="F54" s="6" t="s">
        <v>168</v>
      </c>
    </row>
    <row r="55" ht="15.0" customHeight="1">
      <c r="A55" s="6" t="s">
        <v>430</v>
      </c>
      <c r="B55" s="8" t="s">
        <v>38</v>
      </c>
      <c r="C55" s="6" t="s">
        <v>431</v>
      </c>
      <c r="D55" s="6" t="s">
        <v>432</v>
      </c>
      <c r="E55" s="6" t="s">
        <v>167</v>
      </c>
      <c r="F55" s="6" t="s">
        <v>433</v>
      </c>
    </row>
    <row r="56" ht="15.0" customHeight="1">
      <c r="A56" s="6" t="s">
        <v>434</v>
      </c>
      <c r="B56" s="8" t="s">
        <v>43</v>
      </c>
      <c r="C56" s="6" t="s">
        <v>435</v>
      </c>
      <c r="D56" s="6" t="s">
        <v>435</v>
      </c>
      <c r="E56" s="6" t="s">
        <v>167</v>
      </c>
      <c r="F56" s="6" t="s">
        <v>176</v>
      </c>
    </row>
    <row r="57" ht="15.0" customHeight="1">
      <c r="A57" s="6" t="s">
        <v>436</v>
      </c>
      <c r="B57" s="8" t="s">
        <v>43</v>
      </c>
      <c r="C57" s="6" t="s">
        <v>437</v>
      </c>
      <c r="D57" s="6" t="s">
        <v>437</v>
      </c>
      <c r="E57" s="6" t="s">
        <v>167</v>
      </c>
      <c r="F57" s="6" t="s">
        <v>176</v>
      </c>
    </row>
    <row r="58" ht="15.0" customHeight="1">
      <c r="A58" s="6" t="s">
        <v>438</v>
      </c>
      <c r="B58" s="8" t="s">
        <v>48</v>
      </c>
      <c r="C58" s="6" t="s">
        <v>439</v>
      </c>
      <c r="D58" s="6" t="s">
        <v>440</v>
      </c>
      <c r="E58" s="6" t="s">
        <v>167</v>
      </c>
      <c r="F58" s="6" t="s">
        <v>168</v>
      </c>
    </row>
    <row r="59" ht="15.0" customHeight="1">
      <c r="A59" s="6" t="s">
        <v>441</v>
      </c>
      <c r="B59" s="8" t="s">
        <v>48</v>
      </c>
      <c r="C59" s="6" t="s">
        <v>442</v>
      </c>
      <c r="D59" s="6" t="s">
        <v>443</v>
      </c>
      <c r="E59" s="6" t="s">
        <v>167</v>
      </c>
      <c r="F59" s="6"/>
    </row>
    <row r="60" ht="15.0" customHeight="1">
      <c r="A60" s="6" t="s">
        <v>444</v>
      </c>
      <c r="B60" s="8" t="s">
        <v>48</v>
      </c>
      <c r="C60" s="6" t="s">
        <v>445</v>
      </c>
      <c r="D60" s="6" t="s">
        <v>446</v>
      </c>
      <c r="E60" s="6" t="s">
        <v>167</v>
      </c>
      <c r="F60" s="6"/>
    </row>
    <row r="61" ht="15.0" customHeight="1">
      <c r="A61" s="6" t="s">
        <v>447</v>
      </c>
      <c r="B61" s="8" t="s">
        <v>53</v>
      </c>
      <c r="C61" s="6" t="s">
        <v>448</v>
      </c>
      <c r="D61" s="6" t="s">
        <v>449</v>
      </c>
      <c r="E61" s="6" t="s">
        <v>167</v>
      </c>
      <c r="F61" s="6" t="s">
        <v>176</v>
      </c>
    </row>
    <row r="62" ht="15.0" customHeight="1">
      <c r="A62" s="6" t="s">
        <v>450</v>
      </c>
      <c r="B62" s="8" t="s">
        <v>53</v>
      </c>
      <c r="C62" s="6" t="s">
        <v>451</v>
      </c>
      <c r="D62" s="6" t="s">
        <v>452</v>
      </c>
      <c r="E62" s="6" t="s">
        <v>167</v>
      </c>
      <c r="F62" s="6" t="s">
        <v>176</v>
      </c>
    </row>
    <row r="63" ht="15.0" customHeight="1">
      <c r="A63" s="6" t="s">
        <v>453</v>
      </c>
      <c r="B63" s="8" t="s">
        <v>62</v>
      </c>
      <c r="C63" s="6" t="s">
        <v>439</v>
      </c>
      <c r="D63" s="6" t="s">
        <v>454</v>
      </c>
      <c r="E63" s="6" t="s">
        <v>167</v>
      </c>
      <c r="F63" s="6" t="s">
        <v>176</v>
      </c>
    </row>
    <row r="64" ht="15.0" customHeight="1">
      <c r="A64" s="6" t="s">
        <v>455</v>
      </c>
      <c r="B64" s="8" t="s">
        <v>62</v>
      </c>
      <c r="C64" s="6" t="s">
        <v>456</v>
      </c>
      <c r="D64" s="6" t="s">
        <v>457</v>
      </c>
      <c r="E64" s="6" t="s">
        <v>167</v>
      </c>
      <c r="F64" s="6" t="s">
        <v>176</v>
      </c>
    </row>
    <row r="65" ht="15.0" customHeight="1">
      <c r="A65" s="6" t="s">
        <v>458</v>
      </c>
      <c r="B65" s="8" t="s">
        <v>68</v>
      </c>
      <c r="C65" s="6" t="s">
        <v>459</v>
      </c>
      <c r="D65" s="6" t="s">
        <v>459</v>
      </c>
      <c r="E65" s="6" t="s">
        <v>167</v>
      </c>
      <c r="F65" s="6" t="s">
        <v>176</v>
      </c>
    </row>
    <row r="66" ht="15.0" customHeight="1">
      <c r="A66" s="6" t="s">
        <v>460</v>
      </c>
      <c r="B66" s="8" t="s">
        <v>74</v>
      </c>
      <c r="C66" s="6" t="s">
        <v>431</v>
      </c>
      <c r="D66" s="6" t="s">
        <v>461</v>
      </c>
      <c r="E66" s="6" t="s">
        <v>167</v>
      </c>
      <c r="F66" s="6" t="s">
        <v>176</v>
      </c>
    </row>
    <row r="67" ht="15.0" customHeight="1">
      <c r="A67" s="6" t="s">
        <v>462</v>
      </c>
      <c r="B67" s="8" t="s">
        <v>80</v>
      </c>
      <c r="C67" s="6" t="s">
        <v>439</v>
      </c>
      <c r="D67" s="6" t="s">
        <v>463</v>
      </c>
      <c r="E67" s="6" t="s">
        <v>167</v>
      </c>
      <c r="F67" s="6" t="s">
        <v>176</v>
      </c>
    </row>
    <row r="68" ht="15.0" customHeight="1">
      <c r="A68" s="6" t="s">
        <v>464</v>
      </c>
      <c r="B68" s="8" t="s">
        <v>80</v>
      </c>
      <c r="C68" s="6" t="s">
        <v>465</v>
      </c>
      <c r="D68" s="6" t="s">
        <v>466</v>
      </c>
      <c r="E68" s="6" t="s">
        <v>167</v>
      </c>
      <c r="F68" s="6" t="s">
        <v>176</v>
      </c>
    </row>
    <row r="69" ht="15.0" customHeight="1">
      <c r="A69" s="6" t="s">
        <v>467</v>
      </c>
      <c r="B69" s="8" t="s">
        <v>85</v>
      </c>
      <c r="C69" s="6" t="s">
        <v>439</v>
      </c>
      <c r="D69" s="6" t="s">
        <v>468</v>
      </c>
      <c r="E69" s="6" t="s">
        <v>167</v>
      </c>
      <c r="F69" s="6" t="s">
        <v>176</v>
      </c>
    </row>
    <row r="70" ht="15.0" customHeight="1">
      <c r="A70" s="6" t="s">
        <v>469</v>
      </c>
      <c r="B70" s="8" t="s">
        <v>85</v>
      </c>
      <c r="C70" s="6" t="s">
        <v>465</v>
      </c>
      <c r="D70" s="6" t="s">
        <v>470</v>
      </c>
      <c r="E70" s="6" t="s">
        <v>167</v>
      </c>
      <c r="F70" s="6" t="s">
        <v>176</v>
      </c>
    </row>
    <row r="71" ht="15.0" customHeight="1">
      <c r="A71" s="6" t="s">
        <v>471</v>
      </c>
      <c r="B71" s="8" t="s">
        <v>85</v>
      </c>
      <c r="C71" s="6" t="s">
        <v>472</v>
      </c>
      <c r="D71" s="6" t="s">
        <v>473</v>
      </c>
      <c r="E71" s="6" t="s">
        <v>167</v>
      </c>
      <c r="F71" s="6" t="s">
        <v>176</v>
      </c>
    </row>
    <row r="72" ht="15.0" customHeight="1">
      <c r="A72" s="6" t="s">
        <v>474</v>
      </c>
      <c r="B72" s="8" t="s">
        <v>89</v>
      </c>
      <c r="C72" s="6" t="s">
        <v>439</v>
      </c>
      <c r="D72" s="6" t="s">
        <v>475</v>
      </c>
      <c r="E72" s="6" t="s">
        <v>167</v>
      </c>
      <c r="F72" s="6" t="s">
        <v>176</v>
      </c>
    </row>
    <row r="73" ht="15.0" customHeight="1">
      <c r="A73" s="6" t="s">
        <v>476</v>
      </c>
      <c r="B73" s="8" t="s">
        <v>92</v>
      </c>
      <c r="C73" s="6" t="s">
        <v>477</v>
      </c>
      <c r="D73" s="6" t="s">
        <v>478</v>
      </c>
      <c r="E73" s="6" t="s">
        <v>167</v>
      </c>
      <c r="F73" s="6" t="s">
        <v>479</v>
      </c>
    </row>
    <row r="74" ht="15.0" customHeight="1">
      <c r="A74" s="6" t="s">
        <v>480</v>
      </c>
      <c r="B74" s="8" t="s">
        <v>92</v>
      </c>
      <c r="C74" s="6" t="s">
        <v>481</v>
      </c>
      <c r="D74" s="6" t="s">
        <v>482</v>
      </c>
      <c r="E74" s="6" t="s">
        <v>167</v>
      </c>
      <c r="F74" s="6" t="s">
        <v>479</v>
      </c>
    </row>
    <row r="75" ht="15.0" customHeight="1">
      <c r="A75" s="6" t="s">
        <v>483</v>
      </c>
      <c r="B75" s="8" t="s">
        <v>92</v>
      </c>
      <c r="C75" s="6" t="s">
        <v>484</v>
      </c>
      <c r="D75" s="6" t="s">
        <v>485</v>
      </c>
      <c r="E75" s="6" t="s">
        <v>167</v>
      </c>
      <c r="F75" s="6" t="s">
        <v>479</v>
      </c>
    </row>
    <row r="76" ht="15.0" customHeight="1">
      <c r="A76" s="6" t="s">
        <v>486</v>
      </c>
      <c r="B76" s="8" t="s">
        <v>92</v>
      </c>
      <c r="C76" s="6" t="s">
        <v>487</v>
      </c>
      <c r="D76" s="6" t="s">
        <v>488</v>
      </c>
      <c r="E76" s="6" t="s">
        <v>167</v>
      </c>
      <c r="F76" s="6" t="s">
        <v>479</v>
      </c>
    </row>
    <row r="77" ht="15.0" customHeight="1">
      <c r="A77" s="6" t="s">
        <v>489</v>
      </c>
      <c r="B77" s="8" t="s">
        <v>92</v>
      </c>
      <c r="C77" s="6" t="s">
        <v>490</v>
      </c>
      <c r="D77" s="6" t="s">
        <v>491</v>
      </c>
      <c r="E77" s="6" t="s">
        <v>167</v>
      </c>
      <c r="F77" s="6" t="s">
        <v>479</v>
      </c>
    </row>
    <row r="78" ht="15.0" customHeight="1">
      <c r="A78" s="6" t="s">
        <v>492</v>
      </c>
      <c r="B78" s="8" t="s">
        <v>92</v>
      </c>
      <c r="C78" s="6" t="s">
        <v>493</v>
      </c>
      <c r="D78" s="6" t="s">
        <v>494</v>
      </c>
      <c r="E78" s="6" t="s">
        <v>167</v>
      </c>
      <c r="F78" s="6" t="s">
        <v>479</v>
      </c>
    </row>
    <row r="79" ht="15.0" customHeight="1">
      <c r="A79" s="6" t="s">
        <v>495</v>
      </c>
      <c r="B79" s="8" t="s">
        <v>92</v>
      </c>
      <c r="C79" s="6" t="s">
        <v>496</v>
      </c>
      <c r="D79" s="6" t="s">
        <v>497</v>
      </c>
      <c r="E79" s="6" t="s">
        <v>167</v>
      </c>
      <c r="F79" s="6" t="s">
        <v>479</v>
      </c>
    </row>
    <row r="80" ht="15.0" customHeight="1">
      <c r="A80" s="6" t="s">
        <v>498</v>
      </c>
      <c r="B80" s="8" t="s">
        <v>92</v>
      </c>
      <c r="C80" s="6" t="s">
        <v>499</v>
      </c>
      <c r="D80" s="6" t="s">
        <v>500</v>
      </c>
      <c r="E80" s="6" t="s">
        <v>167</v>
      </c>
      <c r="F80" s="6" t="s">
        <v>479</v>
      </c>
    </row>
    <row r="81" ht="15.0" customHeight="1">
      <c r="A81" s="6" t="s">
        <v>501</v>
      </c>
      <c r="B81" s="8" t="s">
        <v>92</v>
      </c>
      <c r="C81" s="6" t="s">
        <v>502</v>
      </c>
      <c r="D81" s="6" t="s">
        <v>503</v>
      </c>
      <c r="E81" s="6" t="s">
        <v>167</v>
      </c>
      <c r="F81" s="6" t="s">
        <v>479</v>
      </c>
    </row>
    <row r="82" ht="15.0" customHeight="1">
      <c r="A82" s="6" t="s">
        <v>504</v>
      </c>
      <c r="B82" s="8" t="s">
        <v>92</v>
      </c>
      <c r="C82" s="6" t="s">
        <v>505</v>
      </c>
      <c r="D82" s="6" t="s">
        <v>506</v>
      </c>
      <c r="E82" s="6" t="s">
        <v>167</v>
      </c>
      <c r="F82" s="6" t="s">
        <v>479</v>
      </c>
    </row>
    <row r="83" ht="15.0" customHeight="1">
      <c r="A83" s="6" t="s">
        <v>507</v>
      </c>
      <c r="B83" s="8" t="s">
        <v>92</v>
      </c>
      <c r="C83" s="6" t="s">
        <v>508</v>
      </c>
      <c r="D83" s="6" t="s">
        <v>509</v>
      </c>
      <c r="E83" s="6" t="s">
        <v>167</v>
      </c>
      <c r="F83" s="6" t="s">
        <v>479</v>
      </c>
    </row>
    <row r="84" ht="15.0" customHeight="1">
      <c r="A84" s="6" t="s">
        <v>510</v>
      </c>
      <c r="B84" s="8" t="s">
        <v>92</v>
      </c>
      <c r="C84" s="6" t="s">
        <v>511</v>
      </c>
      <c r="D84" s="6" t="s">
        <v>512</v>
      </c>
      <c r="E84" s="6" t="s">
        <v>167</v>
      </c>
      <c r="F84" s="6" t="s">
        <v>479</v>
      </c>
    </row>
    <row r="85" ht="15.0" customHeight="1">
      <c r="A85" s="6" t="s">
        <v>513</v>
      </c>
      <c r="B85" s="8" t="s">
        <v>92</v>
      </c>
      <c r="C85" s="6" t="s">
        <v>514</v>
      </c>
      <c r="D85" s="6" t="s">
        <v>515</v>
      </c>
      <c r="E85" s="6" t="s">
        <v>167</v>
      </c>
      <c r="F85" s="6" t="s">
        <v>479</v>
      </c>
    </row>
    <row r="86" ht="15.0" customHeight="1">
      <c r="A86" s="6" t="s">
        <v>516</v>
      </c>
      <c r="B86" s="8" t="s">
        <v>92</v>
      </c>
      <c r="C86" s="6" t="s">
        <v>517</v>
      </c>
      <c r="D86" s="6" t="s">
        <v>518</v>
      </c>
      <c r="E86" s="6" t="s">
        <v>167</v>
      </c>
      <c r="F86" s="6" t="s">
        <v>479</v>
      </c>
    </row>
    <row r="87" ht="15.0" customHeight="1">
      <c r="A87" s="6" t="s">
        <v>519</v>
      </c>
      <c r="B87" s="8" t="s">
        <v>92</v>
      </c>
      <c r="C87" s="6" t="s">
        <v>520</v>
      </c>
      <c r="D87" s="6" t="s">
        <v>521</v>
      </c>
      <c r="E87" s="6" t="s">
        <v>167</v>
      </c>
      <c r="F87" s="6" t="s">
        <v>479</v>
      </c>
    </row>
    <row r="88" ht="15.0" customHeight="1">
      <c r="A88" s="6" t="s">
        <v>522</v>
      </c>
      <c r="B88" s="8" t="s">
        <v>92</v>
      </c>
      <c r="C88" s="6" t="s">
        <v>523</v>
      </c>
      <c r="D88" s="6" t="s">
        <v>524</v>
      </c>
      <c r="E88" s="6" t="s">
        <v>167</v>
      </c>
      <c r="F88" s="6" t="s">
        <v>479</v>
      </c>
    </row>
    <row r="89" ht="15.0" customHeight="1">
      <c r="A89" s="6" t="s">
        <v>525</v>
      </c>
      <c r="B89" s="8" t="s">
        <v>99</v>
      </c>
      <c r="C89" s="6" t="s">
        <v>526</v>
      </c>
      <c r="D89" s="6" t="s">
        <v>527</v>
      </c>
      <c r="E89" s="6" t="s">
        <v>167</v>
      </c>
      <c r="F89" s="6" t="s">
        <v>479</v>
      </c>
    </row>
    <row r="90" ht="15.0" customHeight="1">
      <c r="A90" s="6" t="s">
        <v>528</v>
      </c>
      <c r="B90" s="8" t="s">
        <v>99</v>
      </c>
      <c r="C90" s="6" t="s">
        <v>529</v>
      </c>
      <c r="D90" s="6" t="s">
        <v>530</v>
      </c>
      <c r="E90" s="6" t="s">
        <v>167</v>
      </c>
      <c r="F90" s="6" t="s">
        <v>479</v>
      </c>
    </row>
    <row r="91" ht="15.0" customHeight="1">
      <c r="A91" s="6" t="s">
        <v>531</v>
      </c>
      <c r="B91" s="8" t="s">
        <v>99</v>
      </c>
      <c r="C91" s="6" t="s">
        <v>493</v>
      </c>
      <c r="D91" s="6" t="s">
        <v>532</v>
      </c>
      <c r="E91" s="6" t="s">
        <v>167</v>
      </c>
      <c r="F91" s="6" t="s">
        <v>479</v>
      </c>
    </row>
    <row r="92" ht="15.0" customHeight="1">
      <c r="A92" s="6" t="s">
        <v>533</v>
      </c>
      <c r="B92" s="8" t="s">
        <v>99</v>
      </c>
      <c r="C92" s="6" t="s">
        <v>496</v>
      </c>
      <c r="D92" s="6" t="s">
        <v>534</v>
      </c>
      <c r="E92" s="6" t="s">
        <v>167</v>
      </c>
      <c r="F92" s="6" t="s">
        <v>479</v>
      </c>
    </row>
    <row r="93" ht="15.0" customHeight="1">
      <c r="A93" s="6" t="s">
        <v>535</v>
      </c>
      <c r="B93" s="8" t="s">
        <v>99</v>
      </c>
      <c r="C93" s="6" t="s">
        <v>502</v>
      </c>
      <c r="D93" s="6" t="s">
        <v>536</v>
      </c>
      <c r="E93" s="6" t="s">
        <v>167</v>
      </c>
      <c r="F93" s="6" t="s">
        <v>479</v>
      </c>
    </row>
    <row r="94" ht="15.0" customHeight="1">
      <c r="A94" s="6" t="s">
        <v>537</v>
      </c>
      <c r="B94" s="8" t="s">
        <v>99</v>
      </c>
      <c r="C94" s="6" t="s">
        <v>538</v>
      </c>
      <c r="D94" s="6" t="s">
        <v>539</v>
      </c>
      <c r="E94" s="6" t="s">
        <v>167</v>
      </c>
      <c r="F94" s="6" t="s">
        <v>479</v>
      </c>
    </row>
    <row r="95" ht="15.0" customHeight="1">
      <c r="A95" s="6" t="s">
        <v>540</v>
      </c>
      <c r="B95" s="8" t="s">
        <v>102</v>
      </c>
      <c r="C95" s="6" t="s">
        <v>541</v>
      </c>
      <c r="D95" s="6" t="s">
        <v>542</v>
      </c>
      <c r="E95" s="6" t="s">
        <v>167</v>
      </c>
      <c r="F95" s="6" t="s">
        <v>479</v>
      </c>
    </row>
    <row r="96" ht="15.0" customHeight="1">
      <c r="A96" s="6" t="s">
        <v>543</v>
      </c>
      <c r="B96" s="8" t="s">
        <v>102</v>
      </c>
      <c r="C96" s="6" t="s">
        <v>544</v>
      </c>
      <c r="D96" s="6" t="s">
        <v>545</v>
      </c>
      <c r="E96" s="6" t="s">
        <v>167</v>
      </c>
      <c r="F96" s="6" t="s">
        <v>479</v>
      </c>
    </row>
    <row r="97" ht="15.0" customHeight="1">
      <c r="A97" s="6" t="s">
        <v>546</v>
      </c>
      <c r="B97" s="8" t="s">
        <v>102</v>
      </c>
      <c r="C97" s="6" t="s">
        <v>547</v>
      </c>
      <c r="D97" s="6" t="s">
        <v>548</v>
      </c>
      <c r="E97" s="6" t="s">
        <v>167</v>
      </c>
      <c r="F97" s="6" t="s">
        <v>479</v>
      </c>
    </row>
    <row r="98" ht="15.0" customHeight="1">
      <c r="A98" s="6" t="s">
        <v>549</v>
      </c>
      <c r="B98" s="8" t="s">
        <v>102</v>
      </c>
      <c r="C98" s="6" t="s">
        <v>550</v>
      </c>
      <c r="D98" s="6" t="s">
        <v>551</v>
      </c>
      <c r="E98" s="6" t="s">
        <v>167</v>
      </c>
      <c r="F98" s="6" t="s">
        <v>479</v>
      </c>
    </row>
    <row r="99" ht="15.0" customHeight="1">
      <c r="A99" s="6" t="s">
        <v>552</v>
      </c>
      <c r="B99" s="8" t="s">
        <v>102</v>
      </c>
      <c r="C99" s="6" t="s">
        <v>529</v>
      </c>
      <c r="D99" s="6" t="s">
        <v>553</v>
      </c>
      <c r="E99" s="6" t="s">
        <v>167</v>
      </c>
      <c r="F99" s="6" t="s">
        <v>479</v>
      </c>
    </row>
    <row r="100" ht="15.0" customHeight="1">
      <c r="A100" s="6" t="s">
        <v>554</v>
      </c>
      <c r="B100" s="8" t="s">
        <v>102</v>
      </c>
      <c r="C100" s="6" t="s">
        <v>493</v>
      </c>
      <c r="D100" s="6" t="s">
        <v>555</v>
      </c>
      <c r="E100" s="6" t="s">
        <v>167</v>
      </c>
      <c r="F100" s="6" t="s">
        <v>479</v>
      </c>
    </row>
    <row r="101" ht="15.0" customHeight="1">
      <c r="A101" s="6" t="s">
        <v>556</v>
      </c>
      <c r="B101" s="8" t="s">
        <v>102</v>
      </c>
      <c r="C101" s="6" t="s">
        <v>496</v>
      </c>
      <c r="D101" s="6" t="s">
        <v>557</v>
      </c>
      <c r="E101" s="6" t="s">
        <v>167</v>
      </c>
      <c r="F101" s="6" t="s">
        <v>479</v>
      </c>
    </row>
    <row r="102" ht="15.0" customHeight="1">
      <c r="A102" s="6" t="s">
        <v>558</v>
      </c>
      <c r="B102" s="8" t="s">
        <v>102</v>
      </c>
      <c r="C102" s="6" t="s">
        <v>559</v>
      </c>
      <c r="D102" s="6" t="s">
        <v>560</v>
      </c>
      <c r="E102" s="6" t="s">
        <v>167</v>
      </c>
      <c r="F102" s="6" t="s">
        <v>479</v>
      </c>
    </row>
    <row r="103" ht="15.0" customHeight="1">
      <c r="A103" s="6" t="s">
        <v>561</v>
      </c>
      <c r="B103" s="8" t="s">
        <v>102</v>
      </c>
      <c r="C103" s="6" t="s">
        <v>499</v>
      </c>
      <c r="D103" s="6" t="s">
        <v>562</v>
      </c>
      <c r="E103" s="6" t="s">
        <v>167</v>
      </c>
      <c r="F103" s="6" t="s">
        <v>479</v>
      </c>
    </row>
    <row r="104" ht="15.0" customHeight="1">
      <c r="A104" s="6" t="s">
        <v>563</v>
      </c>
      <c r="B104" s="8" t="s">
        <v>102</v>
      </c>
      <c r="C104" s="6" t="s">
        <v>499</v>
      </c>
      <c r="D104" s="6" t="s">
        <v>564</v>
      </c>
      <c r="E104" s="6" t="s">
        <v>167</v>
      </c>
      <c r="F104" s="6" t="s">
        <v>479</v>
      </c>
    </row>
    <row r="105" ht="15.0" customHeight="1">
      <c r="A105" s="6" t="s">
        <v>565</v>
      </c>
      <c r="B105" s="8" t="s">
        <v>102</v>
      </c>
      <c r="C105" s="6" t="s">
        <v>502</v>
      </c>
      <c r="D105" s="6" t="s">
        <v>566</v>
      </c>
      <c r="E105" s="6" t="s">
        <v>167</v>
      </c>
      <c r="F105" s="6" t="s">
        <v>479</v>
      </c>
    </row>
    <row r="106" ht="15.0" customHeight="1">
      <c r="A106" s="6" t="s">
        <v>567</v>
      </c>
      <c r="B106" s="8" t="s">
        <v>102</v>
      </c>
      <c r="C106" s="6" t="s">
        <v>568</v>
      </c>
      <c r="D106" s="6" t="s">
        <v>569</v>
      </c>
      <c r="E106" s="6" t="s">
        <v>167</v>
      </c>
      <c r="F106" s="6" t="s">
        <v>479</v>
      </c>
    </row>
    <row r="107" ht="15.0" customHeight="1">
      <c r="A107" s="6" t="s">
        <v>570</v>
      </c>
      <c r="B107" s="8" t="s">
        <v>105</v>
      </c>
      <c r="C107" s="6" t="s">
        <v>544</v>
      </c>
      <c r="D107" s="6" t="s">
        <v>571</v>
      </c>
      <c r="E107" s="6" t="s">
        <v>167</v>
      </c>
      <c r="F107" s="6" t="s">
        <v>479</v>
      </c>
    </row>
    <row r="108" ht="15.0" customHeight="1">
      <c r="A108" s="6" t="s">
        <v>572</v>
      </c>
      <c r="B108" s="8" t="s">
        <v>105</v>
      </c>
      <c r="C108" s="6" t="s">
        <v>547</v>
      </c>
      <c r="D108" s="6" t="s">
        <v>573</v>
      </c>
      <c r="E108" s="6" t="s">
        <v>167</v>
      </c>
      <c r="F108" s="6" t="s">
        <v>479</v>
      </c>
    </row>
    <row r="109" ht="15.0" customHeight="1">
      <c r="A109" s="6" t="s">
        <v>574</v>
      </c>
      <c r="B109" s="8" t="s">
        <v>105</v>
      </c>
      <c r="C109" s="6" t="s">
        <v>496</v>
      </c>
      <c r="D109" s="6" t="s">
        <v>575</v>
      </c>
      <c r="E109" s="6" t="s">
        <v>167</v>
      </c>
      <c r="F109" s="6" t="s">
        <v>479</v>
      </c>
    </row>
    <row r="110" ht="15.0" customHeight="1">
      <c r="A110" s="6" t="s">
        <v>576</v>
      </c>
      <c r="B110" s="8" t="s">
        <v>105</v>
      </c>
      <c r="C110" s="6" t="s">
        <v>499</v>
      </c>
      <c r="D110" s="6" t="s">
        <v>577</v>
      </c>
      <c r="E110" s="6" t="s">
        <v>167</v>
      </c>
      <c r="F110" s="6" t="s">
        <v>479</v>
      </c>
    </row>
    <row r="111" ht="15.0" customHeight="1">
      <c r="A111" s="6" t="s">
        <v>578</v>
      </c>
      <c r="B111" s="8" t="s">
        <v>107</v>
      </c>
      <c r="C111" s="6" t="s">
        <v>579</v>
      </c>
      <c r="D111" s="6" t="s">
        <v>580</v>
      </c>
      <c r="E111" s="6" t="s">
        <v>167</v>
      </c>
      <c r="F111" s="6" t="s">
        <v>479</v>
      </c>
    </row>
    <row r="112" ht="15.0" customHeight="1">
      <c r="A112" s="6" t="s">
        <v>581</v>
      </c>
      <c r="B112" s="8" t="s">
        <v>107</v>
      </c>
      <c r="C112" s="6" t="s">
        <v>582</v>
      </c>
      <c r="D112" s="6" t="s">
        <v>583</v>
      </c>
      <c r="E112" s="6" t="s">
        <v>167</v>
      </c>
      <c r="F112" s="6" t="s">
        <v>479</v>
      </c>
    </row>
    <row r="113" ht="15.0" customHeight="1">
      <c r="A113" s="6" t="s">
        <v>584</v>
      </c>
      <c r="B113" s="8" t="s">
        <v>111</v>
      </c>
      <c r="C113" s="6" t="s">
        <v>579</v>
      </c>
      <c r="D113" s="6" t="s">
        <v>585</v>
      </c>
      <c r="E113" s="6" t="s">
        <v>167</v>
      </c>
      <c r="F113" s="6" t="s">
        <v>479</v>
      </c>
    </row>
    <row r="114" ht="15.0" customHeight="1">
      <c r="A114" s="6" t="s">
        <v>586</v>
      </c>
      <c r="B114" s="8" t="s">
        <v>111</v>
      </c>
      <c r="C114" s="6" t="s">
        <v>582</v>
      </c>
      <c r="D114" s="6" t="s">
        <v>587</v>
      </c>
      <c r="E114" s="6" t="s">
        <v>167</v>
      </c>
      <c r="F114" s="6" t="s">
        <v>479</v>
      </c>
    </row>
    <row r="115" ht="15.0" customHeight="1">
      <c r="A115" s="6" t="s">
        <v>588</v>
      </c>
      <c r="B115" s="8" t="s">
        <v>111</v>
      </c>
      <c r="C115" s="6" t="s">
        <v>589</v>
      </c>
      <c r="D115" s="6" t="s">
        <v>590</v>
      </c>
      <c r="E115" s="6" t="s">
        <v>167</v>
      </c>
      <c r="F115" s="6" t="s">
        <v>176</v>
      </c>
    </row>
    <row r="116" ht="15.0" customHeight="1">
      <c r="A116" s="6" t="s">
        <v>591</v>
      </c>
      <c r="B116" s="8" t="s">
        <v>115</v>
      </c>
      <c r="C116" s="6" t="s">
        <v>592</v>
      </c>
      <c r="D116" s="6" t="s">
        <v>593</v>
      </c>
      <c r="E116" s="6" t="s">
        <v>167</v>
      </c>
      <c r="F116" s="6" t="s">
        <v>479</v>
      </c>
    </row>
    <row r="117" ht="15.0" customHeight="1">
      <c r="A117" s="6" t="s">
        <v>594</v>
      </c>
      <c r="B117" s="8" t="s">
        <v>115</v>
      </c>
      <c r="C117" s="6" t="s">
        <v>595</v>
      </c>
      <c r="D117" s="6" t="s">
        <v>596</v>
      </c>
      <c r="E117" s="6" t="s">
        <v>167</v>
      </c>
      <c r="F117" s="6" t="s">
        <v>479</v>
      </c>
    </row>
    <row r="118" ht="15.0" customHeight="1">
      <c r="A118" s="6" t="s">
        <v>597</v>
      </c>
      <c r="B118" s="8" t="s">
        <v>115</v>
      </c>
      <c r="C118" s="6" t="s">
        <v>598</v>
      </c>
      <c r="D118" s="6" t="s">
        <v>599</v>
      </c>
      <c r="E118" s="6" t="s">
        <v>167</v>
      </c>
      <c r="F118" s="6" t="s">
        <v>479</v>
      </c>
    </row>
    <row r="119" ht="15.0" customHeight="1">
      <c r="A119" s="6" t="s">
        <v>600</v>
      </c>
      <c r="B119" s="8" t="s">
        <v>115</v>
      </c>
      <c r="C119" s="6" t="s">
        <v>601</v>
      </c>
      <c r="D119" s="6" t="s">
        <v>602</v>
      </c>
      <c r="E119" s="6" t="s">
        <v>167</v>
      </c>
      <c r="F119" s="6" t="s">
        <v>479</v>
      </c>
    </row>
    <row r="120" ht="15.0" customHeight="1">
      <c r="A120" s="6" t="s">
        <v>603</v>
      </c>
      <c r="B120" s="8" t="s">
        <v>115</v>
      </c>
      <c r="C120" s="6" t="s">
        <v>589</v>
      </c>
      <c r="D120" s="6" t="s">
        <v>604</v>
      </c>
      <c r="E120" s="6" t="s">
        <v>167</v>
      </c>
      <c r="F120" s="6" t="s">
        <v>479</v>
      </c>
    </row>
    <row r="121" ht="15.0" customHeight="1">
      <c r="A121" s="6" t="s">
        <v>605</v>
      </c>
      <c r="B121" s="8" t="s">
        <v>115</v>
      </c>
      <c r="C121" s="6" t="s">
        <v>606</v>
      </c>
      <c r="D121" s="6" t="s">
        <v>607</v>
      </c>
      <c r="E121" s="6" t="s">
        <v>167</v>
      </c>
      <c r="F121" s="6" t="s">
        <v>479</v>
      </c>
    </row>
    <row r="122" ht="15.0" customHeight="1">
      <c r="A122" s="6" t="s">
        <v>608</v>
      </c>
      <c r="B122" s="8" t="s">
        <v>115</v>
      </c>
      <c r="C122" s="6" t="s">
        <v>609</v>
      </c>
      <c r="D122" s="6" t="s">
        <v>610</v>
      </c>
      <c r="E122" s="6" t="s">
        <v>167</v>
      </c>
      <c r="F122" s="6" t="s">
        <v>479</v>
      </c>
    </row>
    <row r="123" ht="15.0" customHeight="1">
      <c r="A123" s="6" t="s">
        <v>611</v>
      </c>
      <c r="B123" s="8" t="s">
        <v>115</v>
      </c>
      <c r="C123" s="6" t="s">
        <v>612</v>
      </c>
      <c r="D123" s="6" t="s">
        <v>613</v>
      </c>
      <c r="E123" s="6" t="s">
        <v>167</v>
      </c>
      <c r="F123" s="6" t="s">
        <v>479</v>
      </c>
    </row>
    <row r="124" ht="15.0" customHeight="1">
      <c r="A124" s="6" t="s">
        <v>614</v>
      </c>
      <c r="B124" s="8" t="s">
        <v>115</v>
      </c>
      <c r="C124" s="6" t="s">
        <v>615</v>
      </c>
      <c r="D124" s="6" t="s">
        <v>616</v>
      </c>
      <c r="E124" s="6" t="s">
        <v>167</v>
      </c>
      <c r="F124" s="6" t="s">
        <v>479</v>
      </c>
    </row>
    <row r="125" ht="15.0" customHeight="1">
      <c r="A125" s="6" t="s">
        <v>617</v>
      </c>
      <c r="B125" s="8" t="s">
        <v>115</v>
      </c>
      <c r="C125" s="6" t="s">
        <v>618</v>
      </c>
      <c r="D125" s="6" t="s">
        <v>619</v>
      </c>
      <c r="E125" s="6" t="s">
        <v>184</v>
      </c>
      <c r="F125" s="6" t="s">
        <v>479</v>
      </c>
    </row>
    <row r="126" ht="15.0" customHeight="1">
      <c r="A126" s="6" t="s">
        <v>620</v>
      </c>
      <c r="B126" s="8" t="s">
        <v>115</v>
      </c>
      <c r="C126" s="6" t="s">
        <v>621</v>
      </c>
      <c r="D126" s="6" t="s">
        <v>622</v>
      </c>
      <c r="E126" s="6" t="s">
        <v>167</v>
      </c>
      <c r="F126" s="6" t="s">
        <v>479</v>
      </c>
    </row>
    <row r="127" ht="15.0" customHeight="1">
      <c r="A127" s="6" t="s">
        <v>623</v>
      </c>
      <c r="B127" s="8" t="s">
        <v>115</v>
      </c>
      <c r="C127" s="6" t="s">
        <v>624</v>
      </c>
      <c r="D127" s="6" t="s">
        <v>625</v>
      </c>
      <c r="E127" s="6" t="s">
        <v>167</v>
      </c>
      <c r="F127" s="6" t="s">
        <v>479</v>
      </c>
    </row>
    <row r="128" ht="15.0" customHeight="1">
      <c r="A128" s="6" t="s">
        <v>626</v>
      </c>
      <c r="B128" s="8" t="s">
        <v>115</v>
      </c>
      <c r="C128" s="6" t="s">
        <v>627</v>
      </c>
      <c r="D128" s="6" t="s">
        <v>628</v>
      </c>
      <c r="E128" s="6" t="s">
        <v>167</v>
      </c>
      <c r="F128" s="6" t="s">
        <v>479</v>
      </c>
    </row>
    <row r="129" ht="15.0" customHeight="1">
      <c r="A129" s="6" t="s">
        <v>629</v>
      </c>
      <c r="B129" s="8" t="s">
        <v>115</v>
      </c>
      <c r="C129" s="6" t="s">
        <v>630</v>
      </c>
      <c r="D129" s="6" t="s">
        <v>631</v>
      </c>
      <c r="E129" s="6" t="s">
        <v>167</v>
      </c>
      <c r="F129" s="6" t="s">
        <v>479</v>
      </c>
    </row>
    <row r="130" ht="15.0" customHeight="1">
      <c r="A130" s="6" t="s">
        <v>632</v>
      </c>
      <c r="B130" s="8" t="s">
        <v>115</v>
      </c>
      <c r="C130" s="6" t="s">
        <v>633</v>
      </c>
      <c r="D130" s="6" t="s">
        <v>634</v>
      </c>
      <c r="E130" s="6" t="s">
        <v>167</v>
      </c>
      <c r="F130" s="6" t="s">
        <v>479</v>
      </c>
    </row>
    <row r="131" ht="15.0" customHeight="1">
      <c r="A131" s="6" t="s">
        <v>635</v>
      </c>
      <c r="B131" s="8" t="s">
        <v>115</v>
      </c>
      <c r="C131" s="6" t="s">
        <v>636</v>
      </c>
      <c r="D131" s="6" t="s">
        <v>637</v>
      </c>
      <c r="E131" s="6" t="s">
        <v>167</v>
      </c>
      <c r="F131" s="6" t="s">
        <v>479</v>
      </c>
    </row>
    <row r="132" ht="15.0" customHeight="1">
      <c r="A132" s="6" t="s">
        <v>638</v>
      </c>
      <c r="B132" s="8" t="s">
        <v>115</v>
      </c>
      <c r="C132" s="6" t="s">
        <v>639</v>
      </c>
      <c r="D132" s="6" t="s">
        <v>640</v>
      </c>
      <c r="E132" s="6" t="s">
        <v>167</v>
      </c>
      <c r="F132" s="6" t="s">
        <v>479</v>
      </c>
    </row>
    <row r="133" ht="15.0" customHeight="1">
      <c r="A133" s="6" t="s">
        <v>641</v>
      </c>
      <c r="B133" s="8" t="s">
        <v>115</v>
      </c>
      <c r="C133" s="6" t="s">
        <v>642</v>
      </c>
      <c r="D133" s="6" t="s">
        <v>643</v>
      </c>
      <c r="E133" s="6" t="s">
        <v>167</v>
      </c>
      <c r="F133" s="6" t="s">
        <v>479</v>
      </c>
    </row>
    <row r="134" ht="15.0" customHeight="1">
      <c r="A134" s="6" t="s">
        <v>644</v>
      </c>
      <c r="B134" s="8" t="s">
        <v>115</v>
      </c>
      <c r="C134" s="6" t="s">
        <v>645</v>
      </c>
      <c r="D134" s="6" t="s">
        <v>646</v>
      </c>
      <c r="E134" s="6" t="s">
        <v>167</v>
      </c>
      <c r="F134" s="6" t="s">
        <v>479</v>
      </c>
    </row>
    <row r="135" ht="15.0" customHeight="1">
      <c r="A135" s="6" t="s">
        <v>647</v>
      </c>
      <c r="B135" s="8" t="s">
        <v>118</v>
      </c>
      <c r="C135" s="6" t="s">
        <v>598</v>
      </c>
      <c r="D135" s="6" t="s">
        <v>648</v>
      </c>
      <c r="E135" s="6" t="s">
        <v>167</v>
      </c>
      <c r="F135" s="6" t="s">
        <v>479</v>
      </c>
    </row>
    <row r="136" ht="15.0" customHeight="1">
      <c r="A136" s="6" t="s">
        <v>649</v>
      </c>
      <c r="B136" s="8" t="s">
        <v>118</v>
      </c>
      <c r="C136" s="6" t="s">
        <v>650</v>
      </c>
      <c r="D136" s="6" t="s">
        <v>651</v>
      </c>
      <c r="E136" s="6" t="s">
        <v>167</v>
      </c>
      <c r="F136" s="6" t="s">
        <v>479</v>
      </c>
    </row>
    <row r="137" ht="15.0" customHeight="1">
      <c r="A137" s="6" t="s">
        <v>652</v>
      </c>
      <c r="B137" s="8" t="s">
        <v>118</v>
      </c>
      <c r="C137" s="6" t="s">
        <v>653</v>
      </c>
      <c r="D137" s="6" t="s">
        <v>654</v>
      </c>
      <c r="E137" s="6" t="s">
        <v>167</v>
      </c>
      <c r="F137" s="6" t="s">
        <v>479</v>
      </c>
    </row>
    <row r="138" ht="15.0" customHeight="1">
      <c r="A138" s="6" t="s">
        <v>655</v>
      </c>
      <c r="B138" s="8" t="s">
        <v>118</v>
      </c>
      <c r="C138" s="6" t="s">
        <v>589</v>
      </c>
      <c r="D138" s="6" t="s">
        <v>656</v>
      </c>
      <c r="E138" s="6" t="s">
        <v>167</v>
      </c>
      <c r="F138" s="6" t="s">
        <v>479</v>
      </c>
    </row>
    <row r="139" ht="15.0" customHeight="1">
      <c r="A139" s="6" t="s">
        <v>657</v>
      </c>
      <c r="B139" s="8" t="s">
        <v>118</v>
      </c>
      <c r="C139" s="6" t="s">
        <v>658</v>
      </c>
      <c r="D139" s="6" t="s">
        <v>659</v>
      </c>
      <c r="E139" s="6" t="s">
        <v>167</v>
      </c>
      <c r="F139" s="6" t="s">
        <v>479</v>
      </c>
    </row>
    <row r="140" ht="15.0" customHeight="1">
      <c r="A140" s="6" t="s">
        <v>660</v>
      </c>
      <c r="B140" s="8" t="s">
        <v>118</v>
      </c>
      <c r="C140" s="6" t="s">
        <v>609</v>
      </c>
      <c r="D140" s="6" t="s">
        <v>661</v>
      </c>
      <c r="E140" s="6" t="s">
        <v>167</v>
      </c>
      <c r="F140" s="6" t="s">
        <v>479</v>
      </c>
    </row>
    <row r="141" ht="15.0" customHeight="1">
      <c r="A141" s="6" t="s">
        <v>662</v>
      </c>
      <c r="B141" s="8" t="s">
        <v>118</v>
      </c>
      <c r="C141" s="6" t="s">
        <v>612</v>
      </c>
      <c r="D141" s="6" t="s">
        <v>663</v>
      </c>
      <c r="E141" s="6" t="s">
        <v>167</v>
      </c>
      <c r="F141" s="6" t="s">
        <v>479</v>
      </c>
    </row>
    <row r="142" ht="15.0" customHeight="1">
      <c r="A142" s="6" t="s">
        <v>664</v>
      </c>
      <c r="B142" s="8" t="s">
        <v>118</v>
      </c>
      <c r="C142" s="6" t="s">
        <v>665</v>
      </c>
      <c r="D142" s="6" t="s">
        <v>666</v>
      </c>
      <c r="E142" s="6" t="s">
        <v>167</v>
      </c>
      <c r="F142" s="6" t="s">
        <v>479</v>
      </c>
    </row>
    <row r="143" ht="15.0" customHeight="1">
      <c r="A143" s="6" t="s">
        <v>667</v>
      </c>
      <c r="B143" s="8" t="s">
        <v>118</v>
      </c>
      <c r="C143" s="6" t="s">
        <v>668</v>
      </c>
      <c r="D143" s="6" t="s">
        <v>669</v>
      </c>
      <c r="E143" s="6" t="s">
        <v>167</v>
      </c>
      <c r="F143" s="6" t="s">
        <v>479</v>
      </c>
    </row>
    <row r="144" ht="15.0" customHeight="1">
      <c r="A144" s="6" t="s">
        <v>670</v>
      </c>
      <c r="B144" s="8" t="s">
        <v>118</v>
      </c>
      <c r="C144" s="6" t="s">
        <v>671</v>
      </c>
      <c r="D144" s="6" t="s">
        <v>672</v>
      </c>
      <c r="E144" s="6" t="s">
        <v>167</v>
      </c>
      <c r="F144" s="6" t="s">
        <v>479</v>
      </c>
    </row>
    <row r="145" ht="15.0" customHeight="1">
      <c r="A145" s="6" t="s">
        <v>673</v>
      </c>
      <c r="B145" s="8" t="s">
        <v>118</v>
      </c>
      <c r="C145" s="6" t="s">
        <v>615</v>
      </c>
      <c r="D145" s="6" t="s">
        <v>674</v>
      </c>
      <c r="E145" s="6" t="s">
        <v>167</v>
      </c>
      <c r="F145" s="6" t="s">
        <v>479</v>
      </c>
    </row>
    <row r="146" ht="15.0" customHeight="1">
      <c r="A146" s="6" t="s">
        <v>675</v>
      </c>
      <c r="B146" s="8" t="s">
        <v>118</v>
      </c>
      <c r="C146" s="6" t="s">
        <v>621</v>
      </c>
      <c r="D146" s="6" t="s">
        <v>676</v>
      </c>
      <c r="E146" s="6" t="s">
        <v>167</v>
      </c>
      <c r="F146" s="6" t="s">
        <v>479</v>
      </c>
    </row>
    <row r="147" ht="15.0" customHeight="1">
      <c r="A147" s="6" t="s">
        <v>677</v>
      </c>
      <c r="B147" s="8" t="s">
        <v>118</v>
      </c>
      <c r="C147" s="6" t="s">
        <v>678</v>
      </c>
      <c r="D147" s="6" t="s">
        <v>679</v>
      </c>
      <c r="E147" s="6" t="s">
        <v>167</v>
      </c>
      <c r="F147" s="6" t="s">
        <v>479</v>
      </c>
    </row>
    <row r="148" ht="15.0" customHeight="1">
      <c r="A148" s="6" t="s">
        <v>680</v>
      </c>
      <c r="B148" s="8" t="s">
        <v>118</v>
      </c>
      <c r="C148" s="6" t="s">
        <v>681</v>
      </c>
      <c r="D148" s="6" t="s">
        <v>682</v>
      </c>
      <c r="E148" s="6" t="s">
        <v>167</v>
      </c>
      <c r="F148" s="6" t="s">
        <v>479</v>
      </c>
    </row>
    <row r="149" ht="15.0" customHeight="1">
      <c r="A149" s="6" t="s">
        <v>683</v>
      </c>
      <c r="B149" s="8" t="s">
        <v>118</v>
      </c>
      <c r="C149" s="6" t="s">
        <v>639</v>
      </c>
      <c r="D149" s="6" t="s">
        <v>684</v>
      </c>
      <c r="E149" s="6" t="s">
        <v>167</v>
      </c>
      <c r="F149" s="6" t="s">
        <v>479</v>
      </c>
    </row>
    <row r="150" ht="15.0" customHeight="1">
      <c r="A150" s="6" t="s">
        <v>685</v>
      </c>
      <c r="B150" s="8" t="s">
        <v>118</v>
      </c>
      <c r="C150" s="6" t="s">
        <v>686</v>
      </c>
      <c r="D150" s="6" t="s">
        <v>687</v>
      </c>
      <c r="E150" s="6" t="s">
        <v>167</v>
      </c>
      <c r="F150" s="6" t="s">
        <v>479</v>
      </c>
    </row>
    <row r="151" ht="15.0" customHeight="1">
      <c r="A151" s="6" t="s">
        <v>688</v>
      </c>
      <c r="B151" s="8" t="s">
        <v>122</v>
      </c>
      <c r="C151" s="6" t="s">
        <v>689</v>
      </c>
      <c r="D151" s="6" t="s">
        <v>689</v>
      </c>
      <c r="E151" s="6" t="s">
        <v>167</v>
      </c>
      <c r="F151" s="6" t="s">
        <v>176</v>
      </c>
    </row>
    <row r="152" ht="15.0" customHeight="1">
      <c r="A152" s="6" t="s">
        <v>690</v>
      </c>
      <c r="B152" s="8" t="s">
        <v>125</v>
      </c>
      <c r="C152" s="6" t="s">
        <v>439</v>
      </c>
      <c r="D152" s="6" t="s">
        <v>691</v>
      </c>
      <c r="E152" s="6" t="s">
        <v>167</v>
      </c>
      <c r="F152" s="6" t="s">
        <v>176</v>
      </c>
    </row>
    <row r="153" ht="15.0" customHeight="1">
      <c r="A153" s="6" t="s">
        <v>692</v>
      </c>
      <c r="B153" s="8" t="s">
        <v>127</v>
      </c>
      <c r="C153" s="6" t="s">
        <v>693</v>
      </c>
      <c r="D153" s="6" t="s">
        <v>693</v>
      </c>
      <c r="E153" s="6" t="s">
        <v>167</v>
      </c>
      <c r="F153" s="6" t="s">
        <v>694</v>
      </c>
    </row>
    <row r="154" ht="15.0" customHeight="1">
      <c r="A154" s="6" t="s">
        <v>695</v>
      </c>
      <c r="B154" s="8" t="s">
        <v>127</v>
      </c>
      <c r="C154" s="6" t="s">
        <v>696</v>
      </c>
      <c r="D154" s="6" t="s">
        <v>697</v>
      </c>
      <c r="E154" s="6" t="s">
        <v>167</v>
      </c>
      <c r="F154" s="6" t="s">
        <v>694</v>
      </c>
    </row>
    <row r="155" ht="15.0" customHeight="1">
      <c r="A155" s="6" t="s">
        <v>698</v>
      </c>
      <c r="B155" s="8" t="s">
        <v>130</v>
      </c>
      <c r="C155" s="6" t="s">
        <v>439</v>
      </c>
      <c r="D155" s="6" t="s">
        <v>699</v>
      </c>
      <c r="E155" s="6" t="s">
        <v>167</v>
      </c>
      <c r="F155" s="6" t="s">
        <v>176</v>
      </c>
    </row>
    <row r="156" ht="15.0" customHeight="1">
      <c r="A156" s="6" t="s">
        <v>700</v>
      </c>
      <c r="B156" s="8" t="s">
        <v>130</v>
      </c>
      <c r="C156" s="6" t="s">
        <v>465</v>
      </c>
      <c r="D156" s="6" t="s">
        <v>701</v>
      </c>
      <c r="E156" s="6" t="s">
        <v>167</v>
      </c>
      <c r="F156" s="6" t="s">
        <v>176</v>
      </c>
    </row>
    <row r="157" ht="15.0" customHeight="1">
      <c r="A157" s="6" t="s">
        <v>702</v>
      </c>
      <c r="B157" s="8" t="s">
        <v>130</v>
      </c>
      <c r="C157" s="6" t="s">
        <v>703</v>
      </c>
      <c r="D157" s="6" t="s">
        <v>704</v>
      </c>
      <c r="E157" s="6" t="s">
        <v>167</v>
      </c>
      <c r="F157" s="6" t="s">
        <v>176</v>
      </c>
    </row>
    <row r="158" ht="15.0" customHeight="1">
      <c r="A158" s="6" t="s">
        <v>705</v>
      </c>
      <c r="B158" s="8" t="s">
        <v>130</v>
      </c>
      <c r="C158" s="6" t="s">
        <v>472</v>
      </c>
      <c r="D158" s="6" t="s">
        <v>706</v>
      </c>
      <c r="E158" s="6" t="s">
        <v>167</v>
      </c>
      <c r="F158" s="6" t="s">
        <v>176</v>
      </c>
    </row>
    <row r="159" ht="15.0" customHeight="1">
      <c r="A159" s="6" t="s">
        <v>707</v>
      </c>
      <c r="B159" s="8" t="s">
        <v>130</v>
      </c>
      <c r="C159" s="6" t="s">
        <v>442</v>
      </c>
      <c r="D159" s="6" t="s">
        <v>708</v>
      </c>
      <c r="E159" s="6" t="s">
        <v>167</v>
      </c>
      <c r="F159" s="6" t="s">
        <v>176</v>
      </c>
    </row>
    <row r="160" ht="15.0" customHeight="1">
      <c r="A160" s="6" t="s">
        <v>709</v>
      </c>
      <c r="B160" s="8" t="s">
        <v>130</v>
      </c>
      <c r="C160" s="6" t="s">
        <v>445</v>
      </c>
      <c r="D160" s="6" t="s">
        <v>710</v>
      </c>
      <c r="E160" s="6" t="s">
        <v>184</v>
      </c>
      <c r="F160" s="6" t="s">
        <v>176</v>
      </c>
    </row>
    <row r="161" ht="15.0" customHeight="1">
      <c r="A161" s="6" t="s">
        <v>711</v>
      </c>
      <c r="B161" s="8" t="s">
        <v>135</v>
      </c>
      <c r="C161" s="6" t="s">
        <v>712</v>
      </c>
      <c r="D161" s="6" t="s">
        <v>712</v>
      </c>
      <c r="E161" s="6" t="s">
        <v>167</v>
      </c>
      <c r="F161" s="6" t="s">
        <v>168</v>
      </c>
    </row>
    <row r="162" ht="15.0" customHeight="1">
      <c r="A162" s="6" t="s">
        <v>713</v>
      </c>
      <c r="B162" s="8" t="s">
        <v>139</v>
      </c>
      <c r="C162" s="6" t="s">
        <v>714</v>
      </c>
      <c r="D162" s="6" t="s">
        <v>714</v>
      </c>
      <c r="E162" s="6" t="s">
        <v>167</v>
      </c>
      <c r="F162" s="6" t="s">
        <v>176</v>
      </c>
    </row>
    <row r="163" ht="15.0" customHeight="1">
      <c r="A163" s="6" t="s">
        <v>715</v>
      </c>
      <c r="B163" s="8" t="s">
        <v>146</v>
      </c>
      <c r="C163" s="6" t="s">
        <v>716</v>
      </c>
      <c r="D163" s="6" t="s">
        <v>716</v>
      </c>
      <c r="E163" s="6" t="s">
        <v>167</v>
      </c>
      <c r="F163" s="6" t="s">
        <v>168</v>
      </c>
    </row>
    <row r="164" ht="15.0" customHeight="1">
      <c r="A164" s="6" t="s">
        <v>717</v>
      </c>
      <c r="B164" s="8" t="s">
        <v>146</v>
      </c>
      <c r="C164" s="6" t="s">
        <v>718</v>
      </c>
      <c r="D164" s="6" t="s">
        <v>718</v>
      </c>
      <c r="E164" s="6" t="s">
        <v>167</v>
      </c>
      <c r="F164" s="6" t="s">
        <v>719</v>
      </c>
    </row>
    <row r="165" ht="15.0" customHeight="1">
      <c r="A165" s="6" t="s">
        <v>720</v>
      </c>
      <c r="B165" s="8" t="s">
        <v>149</v>
      </c>
      <c r="C165" s="6" t="s">
        <v>721</v>
      </c>
      <c r="D165" s="6" t="s">
        <v>721</v>
      </c>
      <c r="E165" s="6" t="s">
        <v>167</v>
      </c>
      <c r="F165" s="6" t="s">
        <v>176</v>
      </c>
    </row>
    <row r="166" ht="15.0" customHeight="1">
      <c r="A166" s="6" t="s">
        <v>722</v>
      </c>
      <c r="B166" s="8" t="s">
        <v>154</v>
      </c>
      <c r="C166" s="6" t="s">
        <v>723</v>
      </c>
      <c r="D166" s="6" t="s">
        <v>723</v>
      </c>
      <c r="E166" s="6" t="s">
        <v>167</v>
      </c>
      <c r="F166" s="6" t="s">
        <v>176</v>
      </c>
    </row>
    <row r="167" ht="15.0" customHeight="1">
      <c r="A167" s="6" t="s">
        <v>724</v>
      </c>
      <c r="B167" s="8" t="s">
        <v>133</v>
      </c>
      <c r="C167" s="6" t="s">
        <v>725</v>
      </c>
      <c r="D167" s="6" t="s">
        <v>725</v>
      </c>
      <c r="E167" s="6" t="s">
        <v>167</v>
      </c>
      <c r="F167" s="6" t="s">
        <v>176</v>
      </c>
    </row>
    <row r="168" ht="15.0" customHeight="1">
      <c r="A168" s="6" t="s">
        <v>726</v>
      </c>
      <c r="B168" s="8" t="s">
        <v>158</v>
      </c>
      <c r="C168" s="6" t="s">
        <v>727</v>
      </c>
      <c r="D168" s="6" t="s">
        <v>728</v>
      </c>
      <c r="E168" s="6" t="s">
        <v>167</v>
      </c>
      <c r="F168" s="6" t="s">
        <v>479</v>
      </c>
    </row>
    <row r="169" ht="15.0" customHeight="1">
      <c r="A169" s="6" t="s">
        <v>729</v>
      </c>
      <c r="B169" s="8" t="s">
        <v>164</v>
      </c>
      <c r="C169" s="6" t="s">
        <v>730</v>
      </c>
      <c r="D169" s="6" t="s">
        <v>731</v>
      </c>
      <c r="E169" s="6" t="s">
        <v>167</v>
      </c>
      <c r="F169" s="6" t="s">
        <v>479</v>
      </c>
    </row>
    <row r="170" ht="15.0" customHeight="1">
      <c r="A170" s="6" t="s">
        <v>732</v>
      </c>
      <c r="B170" s="8" t="s">
        <v>164</v>
      </c>
      <c r="C170" s="6" t="s">
        <v>733</v>
      </c>
      <c r="D170" s="6" t="s">
        <v>734</v>
      </c>
      <c r="E170" s="6" t="s">
        <v>167</v>
      </c>
      <c r="F170" s="6" t="s">
        <v>479</v>
      </c>
    </row>
    <row r="171" ht="15.0" customHeight="1">
      <c r="A171" s="6" t="s">
        <v>735</v>
      </c>
      <c r="B171" s="8" t="s">
        <v>164</v>
      </c>
      <c r="C171" s="6" t="s">
        <v>582</v>
      </c>
      <c r="D171" s="6" t="s">
        <v>736</v>
      </c>
      <c r="E171" s="6" t="s">
        <v>167</v>
      </c>
      <c r="F171" s="6" t="s">
        <v>479</v>
      </c>
    </row>
    <row r="172" ht="15.0" customHeight="1">
      <c r="A172" s="6" t="s">
        <v>737</v>
      </c>
      <c r="B172" s="8" t="s">
        <v>164</v>
      </c>
      <c r="C172" s="6" t="s">
        <v>642</v>
      </c>
      <c r="D172" s="6" t="s">
        <v>738</v>
      </c>
      <c r="E172" s="6" t="s">
        <v>167</v>
      </c>
      <c r="F172" s="6" t="s">
        <v>479</v>
      </c>
    </row>
    <row r="173" ht="15.0" customHeight="1">
      <c r="A173" s="6" t="s">
        <v>739</v>
      </c>
      <c r="B173" s="8" t="s">
        <v>164</v>
      </c>
      <c r="C173" s="6" t="s">
        <v>740</v>
      </c>
      <c r="D173" s="6" t="s">
        <v>741</v>
      </c>
      <c r="E173" s="6" t="s">
        <v>167</v>
      </c>
      <c r="F173" s="6" t="s">
        <v>479</v>
      </c>
    </row>
    <row r="174" ht="15.0" customHeight="1">
      <c r="A174" s="6" t="s">
        <v>742</v>
      </c>
      <c r="B174" s="8" t="s">
        <v>172</v>
      </c>
      <c r="C174" s="6" t="s">
        <v>743</v>
      </c>
      <c r="D174" s="6" t="s">
        <v>744</v>
      </c>
      <c r="E174" s="6" t="s">
        <v>167</v>
      </c>
      <c r="F174" s="6" t="s">
        <v>479</v>
      </c>
    </row>
    <row r="175" ht="15.0" customHeight="1">
      <c r="A175" s="6" t="s">
        <v>745</v>
      </c>
      <c r="B175" s="8" t="s">
        <v>172</v>
      </c>
      <c r="C175" s="6" t="s">
        <v>746</v>
      </c>
      <c r="D175" s="6" t="s">
        <v>747</v>
      </c>
      <c r="E175" s="6" t="s">
        <v>167</v>
      </c>
      <c r="F175" s="6" t="s">
        <v>479</v>
      </c>
    </row>
    <row r="176" ht="15.0" customHeight="1">
      <c r="A176" s="6" t="s">
        <v>748</v>
      </c>
      <c r="B176" s="8" t="s">
        <v>172</v>
      </c>
      <c r="C176" s="6" t="s">
        <v>730</v>
      </c>
      <c r="D176" s="6" t="s">
        <v>749</v>
      </c>
      <c r="E176" s="6" t="s">
        <v>167</v>
      </c>
      <c r="F176" s="6" t="s">
        <v>479</v>
      </c>
    </row>
    <row r="177" ht="15.0" customHeight="1">
      <c r="A177" s="6" t="s">
        <v>750</v>
      </c>
      <c r="B177" s="8" t="s">
        <v>172</v>
      </c>
      <c r="C177" s="6" t="s">
        <v>733</v>
      </c>
      <c r="D177" s="6" t="s">
        <v>751</v>
      </c>
      <c r="E177" s="6" t="s">
        <v>167</v>
      </c>
      <c r="F177" s="6" t="s">
        <v>479</v>
      </c>
    </row>
    <row r="178" ht="15.0" customHeight="1">
      <c r="A178" s="6" t="s">
        <v>752</v>
      </c>
      <c r="B178" s="8" t="s">
        <v>172</v>
      </c>
      <c r="C178" s="6" t="s">
        <v>753</v>
      </c>
      <c r="D178" s="6" t="s">
        <v>754</v>
      </c>
      <c r="E178" s="6" t="s">
        <v>167</v>
      </c>
      <c r="F178" s="6" t="s">
        <v>479</v>
      </c>
    </row>
    <row r="179" ht="15.0" customHeight="1">
      <c r="A179" s="6" t="s">
        <v>755</v>
      </c>
      <c r="B179" s="8" t="s">
        <v>172</v>
      </c>
      <c r="C179" s="6" t="s">
        <v>579</v>
      </c>
      <c r="D179" s="6" t="s">
        <v>756</v>
      </c>
      <c r="E179" s="6" t="s">
        <v>167</v>
      </c>
      <c r="F179" s="6" t="s">
        <v>479</v>
      </c>
    </row>
    <row r="180" ht="15.0" customHeight="1">
      <c r="A180" s="6" t="s">
        <v>757</v>
      </c>
      <c r="B180" s="8" t="s">
        <v>172</v>
      </c>
      <c r="C180" s="6" t="s">
        <v>579</v>
      </c>
      <c r="D180" s="6" t="s">
        <v>758</v>
      </c>
      <c r="E180" s="6" t="s">
        <v>167</v>
      </c>
      <c r="F180" s="6" t="s">
        <v>479</v>
      </c>
    </row>
    <row r="181" ht="15.0" customHeight="1">
      <c r="A181" s="6" t="s">
        <v>759</v>
      </c>
      <c r="B181" s="8" t="s">
        <v>172</v>
      </c>
      <c r="C181" s="6" t="s">
        <v>760</v>
      </c>
      <c r="D181" s="6" t="s">
        <v>761</v>
      </c>
      <c r="E181" s="6" t="s">
        <v>167</v>
      </c>
      <c r="F181" s="6" t="s">
        <v>479</v>
      </c>
    </row>
    <row r="182" ht="15.0" customHeight="1">
      <c r="A182" s="6" t="s">
        <v>762</v>
      </c>
      <c r="B182" s="8" t="s">
        <v>172</v>
      </c>
      <c r="C182" s="6" t="s">
        <v>582</v>
      </c>
      <c r="D182" s="6" t="s">
        <v>763</v>
      </c>
      <c r="E182" s="6" t="s">
        <v>167</v>
      </c>
      <c r="F182" s="6" t="s">
        <v>479</v>
      </c>
    </row>
    <row r="183" ht="15.0" customHeight="1">
      <c r="A183" s="6" t="s">
        <v>764</v>
      </c>
      <c r="B183" s="8" t="s">
        <v>172</v>
      </c>
      <c r="C183" s="6" t="s">
        <v>582</v>
      </c>
      <c r="D183" s="6" t="s">
        <v>763</v>
      </c>
      <c r="E183" s="6" t="s">
        <v>167</v>
      </c>
      <c r="F183" s="6" t="s">
        <v>479</v>
      </c>
    </row>
    <row r="184" ht="15.0" customHeight="1">
      <c r="A184" s="6" t="s">
        <v>765</v>
      </c>
      <c r="B184" s="8" t="s">
        <v>172</v>
      </c>
      <c r="C184" s="6" t="s">
        <v>766</v>
      </c>
      <c r="D184" s="6" t="s">
        <v>767</v>
      </c>
      <c r="E184" s="6" t="s">
        <v>167</v>
      </c>
      <c r="F184" s="6" t="s">
        <v>479</v>
      </c>
    </row>
    <row r="185" ht="15.0" customHeight="1">
      <c r="A185" s="6" t="s">
        <v>768</v>
      </c>
      <c r="B185" s="8" t="s">
        <v>172</v>
      </c>
      <c r="C185" s="6" t="s">
        <v>769</v>
      </c>
      <c r="D185" s="6" t="s">
        <v>770</v>
      </c>
      <c r="E185" s="6" t="s">
        <v>167</v>
      </c>
      <c r="F185" s="6" t="s">
        <v>479</v>
      </c>
    </row>
    <row r="186" ht="15.0" customHeight="1">
      <c r="A186" s="6" t="s">
        <v>771</v>
      </c>
      <c r="B186" s="8" t="s">
        <v>172</v>
      </c>
      <c r="C186" s="6" t="s">
        <v>772</v>
      </c>
      <c r="D186" s="6" t="s">
        <v>773</v>
      </c>
      <c r="E186" s="6" t="s">
        <v>167</v>
      </c>
      <c r="F186" s="6" t="s">
        <v>479</v>
      </c>
    </row>
    <row r="187" ht="15.0" customHeight="1">
      <c r="A187" s="6" t="s">
        <v>774</v>
      </c>
      <c r="B187" s="8" t="s">
        <v>172</v>
      </c>
      <c r="C187" s="6" t="s">
        <v>775</v>
      </c>
      <c r="D187" s="6" t="s">
        <v>776</v>
      </c>
      <c r="E187" s="6" t="s">
        <v>167</v>
      </c>
      <c r="F187" s="6" t="s">
        <v>479</v>
      </c>
    </row>
    <row r="188" ht="15.0" customHeight="1">
      <c r="A188" s="6" t="s">
        <v>777</v>
      </c>
      <c r="B188" s="8" t="s">
        <v>172</v>
      </c>
      <c r="C188" s="6" t="s">
        <v>589</v>
      </c>
      <c r="D188" s="6" t="s">
        <v>778</v>
      </c>
      <c r="E188" s="6" t="s">
        <v>167</v>
      </c>
      <c r="F188" s="6" t="s">
        <v>479</v>
      </c>
    </row>
    <row r="189" ht="15.0" customHeight="1">
      <c r="A189" s="6" t="s">
        <v>779</v>
      </c>
      <c r="B189" s="8" t="s">
        <v>172</v>
      </c>
      <c r="C189" s="6" t="s">
        <v>780</v>
      </c>
      <c r="D189" s="6" t="s">
        <v>781</v>
      </c>
      <c r="E189" s="6" t="s">
        <v>167</v>
      </c>
      <c r="F189" s="6" t="s">
        <v>479</v>
      </c>
    </row>
    <row r="190" ht="15.0" customHeight="1">
      <c r="A190" s="6" t="s">
        <v>782</v>
      </c>
      <c r="B190" s="8" t="s">
        <v>172</v>
      </c>
      <c r="C190" s="6" t="s">
        <v>783</v>
      </c>
      <c r="D190" s="6" t="s">
        <v>784</v>
      </c>
      <c r="E190" s="6" t="s">
        <v>167</v>
      </c>
      <c r="F190" s="6" t="s">
        <v>479</v>
      </c>
    </row>
    <row r="191" ht="15.0" customHeight="1">
      <c r="A191" s="6" t="s">
        <v>785</v>
      </c>
      <c r="B191" s="8" t="s">
        <v>172</v>
      </c>
      <c r="C191" s="6" t="s">
        <v>740</v>
      </c>
      <c r="D191" s="6" t="s">
        <v>786</v>
      </c>
      <c r="E191" s="6" t="s">
        <v>167</v>
      </c>
      <c r="F191" s="6" t="s">
        <v>479</v>
      </c>
    </row>
    <row r="192" ht="15.0" customHeight="1">
      <c r="A192" s="6" t="s">
        <v>787</v>
      </c>
      <c r="B192" s="8" t="s">
        <v>177</v>
      </c>
      <c r="C192" s="6" t="s">
        <v>753</v>
      </c>
      <c r="D192" s="6" t="s">
        <v>788</v>
      </c>
      <c r="E192" s="6" t="s">
        <v>167</v>
      </c>
      <c r="F192" s="6" t="s">
        <v>479</v>
      </c>
    </row>
    <row r="193" ht="15.0" customHeight="1">
      <c r="A193" s="6" t="s">
        <v>789</v>
      </c>
      <c r="B193" s="8" t="s">
        <v>177</v>
      </c>
      <c r="C193" s="6" t="s">
        <v>579</v>
      </c>
      <c r="D193" s="6" t="s">
        <v>790</v>
      </c>
      <c r="E193" s="6" t="s">
        <v>167</v>
      </c>
      <c r="F193" s="6" t="s">
        <v>479</v>
      </c>
    </row>
    <row r="194" ht="15.0" customHeight="1">
      <c r="A194" s="6" t="s">
        <v>791</v>
      </c>
      <c r="B194" s="8" t="s">
        <v>177</v>
      </c>
      <c r="C194" s="6" t="s">
        <v>579</v>
      </c>
      <c r="D194" s="6" t="s">
        <v>792</v>
      </c>
      <c r="E194" s="6" t="s">
        <v>167</v>
      </c>
      <c r="F194" s="6" t="s">
        <v>479</v>
      </c>
    </row>
    <row r="195" ht="15.0" customHeight="1">
      <c r="A195" s="6" t="s">
        <v>793</v>
      </c>
      <c r="B195" s="8" t="s">
        <v>177</v>
      </c>
      <c r="C195" s="6" t="s">
        <v>582</v>
      </c>
      <c r="D195" s="6" t="s">
        <v>794</v>
      </c>
      <c r="E195" s="6" t="s">
        <v>167</v>
      </c>
      <c r="F195" s="6" t="s">
        <v>479</v>
      </c>
    </row>
    <row r="196" ht="15.0" customHeight="1">
      <c r="A196" s="6" t="s">
        <v>795</v>
      </c>
      <c r="B196" s="8" t="s">
        <v>182</v>
      </c>
      <c r="C196" s="6" t="s">
        <v>439</v>
      </c>
      <c r="D196" s="6" t="s">
        <v>796</v>
      </c>
      <c r="E196" s="6" t="s">
        <v>167</v>
      </c>
      <c r="F196" s="6" t="s">
        <v>176</v>
      </c>
    </row>
    <row r="197" ht="15.0" customHeight="1">
      <c r="A197" s="6" t="s">
        <v>797</v>
      </c>
      <c r="B197" s="8" t="s">
        <v>182</v>
      </c>
      <c r="C197" s="6" t="s">
        <v>465</v>
      </c>
      <c r="D197" s="6" t="s">
        <v>798</v>
      </c>
      <c r="E197" s="6" t="s">
        <v>167</v>
      </c>
      <c r="F197" s="6" t="s">
        <v>176</v>
      </c>
    </row>
    <row r="198" ht="15.0" customHeight="1">
      <c r="A198" s="6" t="s">
        <v>799</v>
      </c>
      <c r="B198" s="8" t="s">
        <v>182</v>
      </c>
      <c r="C198" s="6" t="s">
        <v>472</v>
      </c>
      <c r="D198" s="6" t="s">
        <v>800</v>
      </c>
      <c r="E198" s="6" t="s">
        <v>167</v>
      </c>
      <c r="F198" s="6" t="s">
        <v>176</v>
      </c>
    </row>
    <row r="199" ht="15.0" customHeight="1">
      <c r="A199" s="6" t="s">
        <v>801</v>
      </c>
      <c r="B199" s="8" t="s">
        <v>182</v>
      </c>
      <c r="C199" s="6" t="s">
        <v>163</v>
      </c>
      <c r="D199" s="6" t="s">
        <v>802</v>
      </c>
      <c r="E199" s="6" t="s">
        <v>167</v>
      </c>
      <c r="F199" s="6" t="s">
        <v>176</v>
      </c>
    </row>
    <row r="200" ht="15.0" customHeight="1">
      <c r="A200" s="6" t="s">
        <v>803</v>
      </c>
      <c r="B200" s="8" t="s">
        <v>182</v>
      </c>
      <c r="C200" s="6" t="s">
        <v>696</v>
      </c>
      <c r="D200" s="6" t="s">
        <v>804</v>
      </c>
      <c r="E200" s="6" t="s">
        <v>167</v>
      </c>
      <c r="F200" s="6" t="s">
        <v>176</v>
      </c>
    </row>
    <row r="201" ht="15.0" customHeight="1">
      <c r="A201" s="6" t="s">
        <v>805</v>
      </c>
      <c r="B201" s="8" t="s">
        <v>187</v>
      </c>
      <c r="C201" s="6" t="s">
        <v>442</v>
      </c>
      <c r="D201" s="6" t="s">
        <v>806</v>
      </c>
      <c r="E201" s="6" t="s">
        <v>167</v>
      </c>
      <c r="F201" s="6" t="s">
        <v>168</v>
      </c>
    </row>
    <row r="202" ht="15.0" customHeight="1">
      <c r="A202" s="6" t="s">
        <v>807</v>
      </c>
      <c r="B202" s="8" t="s">
        <v>193</v>
      </c>
      <c r="C202" s="6" t="s">
        <v>696</v>
      </c>
      <c r="D202" s="6" t="s">
        <v>808</v>
      </c>
      <c r="E202" s="6" t="s">
        <v>167</v>
      </c>
      <c r="F202" s="6" t="s">
        <v>168</v>
      </c>
    </row>
    <row r="203" ht="15.0" customHeight="1">
      <c r="A203" s="6" t="s">
        <v>809</v>
      </c>
      <c r="B203" s="8" t="s">
        <v>193</v>
      </c>
      <c r="C203" s="6" t="s">
        <v>445</v>
      </c>
      <c r="D203" s="6" t="s">
        <v>810</v>
      </c>
      <c r="E203" s="6" t="s">
        <v>167</v>
      </c>
      <c r="F203" s="6" t="s">
        <v>168</v>
      </c>
    </row>
    <row r="204" ht="15.0" customHeight="1">
      <c r="A204" s="6" t="s">
        <v>811</v>
      </c>
      <c r="B204" s="8" t="s">
        <v>200</v>
      </c>
      <c r="C204" s="6" t="s">
        <v>439</v>
      </c>
      <c r="D204" s="6" t="s">
        <v>812</v>
      </c>
      <c r="E204" s="6" t="s">
        <v>167</v>
      </c>
      <c r="F204" s="6" t="s">
        <v>813</v>
      </c>
    </row>
    <row r="205" ht="15.0" customHeight="1">
      <c r="A205" s="6" t="s">
        <v>814</v>
      </c>
      <c r="B205" s="8" t="s">
        <v>200</v>
      </c>
      <c r="C205" s="6" t="s">
        <v>815</v>
      </c>
      <c r="D205" s="6" t="s">
        <v>816</v>
      </c>
      <c r="E205" s="6" t="s">
        <v>167</v>
      </c>
      <c r="F205" s="6" t="s">
        <v>813</v>
      </c>
    </row>
    <row r="206" ht="15.0" customHeight="1">
      <c r="A206" s="6" t="s">
        <v>817</v>
      </c>
      <c r="B206" s="8" t="s">
        <v>200</v>
      </c>
      <c r="C206" s="6" t="s">
        <v>696</v>
      </c>
      <c r="D206" s="6" t="s">
        <v>818</v>
      </c>
      <c r="E206" s="6" t="s">
        <v>167</v>
      </c>
      <c r="F206" s="6" t="s">
        <v>168</v>
      </c>
    </row>
    <row r="207" ht="15.0" customHeight="1">
      <c r="A207" s="6" t="s">
        <v>819</v>
      </c>
      <c r="B207" s="8" t="s">
        <v>207</v>
      </c>
      <c r="C207" s="6" t="s">
        <v>439</v>
      </c>
      <c r="D207" s="6" t="s">
        <v>820</v>
      </c>
      <c r="E207" s="6" t="s">
        <v>167</v>
      </c>
      <c r="F207" s="6" t="s">
        <v>813</v>
      </c>
    </row>
    <row r="208" ht="15.0" customHeight="1">
      <c r="A208" s="6" t="s">
        <v>821</v>
      </c>
      <c r="B208" s="8" t="s">
        <v>207</v>
      </c>
      <c r="C208" s="6" t="s">
        <v>822</v>
      </c>
      <c r="D208" s="6" t="s">
        <v>822</v>
      </c>
      <c r="E208" s="6" t="s">
        <v>167</v>
      </c>
      <c r="F208" s="6" t="s">
        <v>813</v>
      </c>
    </row>
    <row r="209" ht="15.0" customHeight="1">
      <c r="A209" s="6" t="s">
        <v>823</v>
      </c>
      <c r="B209" s="8" t="s">
        <v>212</v>
      </c>
      <c r="C209" s="6" t="s">
        <v>727</v>
      </c>
      <c r="D209" s="6" t="s">
        <v>824</v>
      </c>
      <c r="E209" s="6" t="s">
        <v>167</v>
      </c>
      <c r="F209" s="6" t="s">
        <v>479</v>
      </c>
    </row>
    <row r="210" ht="15.0" customHeight="1">
      <c r="A210" s="6" t="s">
        <v>825</v>
      </c>
      <c r="B210" s="8" t="s">
        <v>212</v>
      </c>
      <c r="C210" s="6" t="s">
        <v>733</v>
      </c>
      <c r="D210" s="6" t="s">
        <v>826</v>
      </c>
      <c r="E210" s="6" t="s">
        <v>167</v>
      </c>
      <c r="F210" s="6" t="s">
        <v>479</v>
      </c>
    </row>
    <row r="211" ht="15.0" customHeight="1">
      <c r="A211" s="6" t="s">
        <v>827</v>
      </c>
      <c r="B211" s="8" t="s">
        <v>212</v>
      </c>
      <c r="C211" s="6" t="s">
        <v>828</v>
      </c>
      <c r="D211" s="6" t="s">
        <v>829</v>
      </c>
      <c r="E211" s="6" t="s">
        <v>167</v>
      </c>
      <c r="F211" s="6" t="s">
        <v>479</v>
      </c>
    </row>
    <row r="212" ht="15.0" customHeight="1">
      <c r="A212" s="6" t="s">
        <v>830</v>
      </c>
      <c r="B212" s="8" t="s">
        <v>219</v>
      </c>
      <c r="C212" s="6" t="s">
        <v>727</v>
      </c>
      <c r="D212" s="6" t="s">
        <v>831</v>
      </c>
      <c r="E212" s="6" t="s">
        <v>167</v>
      </c>
      <c r="F212" s="6" t="s">
        <v>479</v>
      </c>
    </row>
    <row r="213" ht="15.0" customHeight="1">
      <c r="A213" s="6" t="s">
        <v>832</v>
      </c>
      <c r="B213" s="8" t="s">
        <v>219</v>
      </c>
      <c r="C213" s="6" t="s">
        <v>833</v>
      </c>
      <c r="D213" s="6" t="s">
        <v>834</v>
      </c>
      <c r="E213" s="6" t="s">
        <v>167</v>
      </c>
      <c r="F213" s="6" t="s">
        <v>479</v>
      </c>
    </row>
    <row r="214" ht="15.0" customHeight="1">
      <c r="A214" s="6" t="s">
        <v>835</v>
      </c>
      <c r="B214" s="8" t="s">
        <v>219</v>
      </c>
      <c r="C214" s="6" t="s">
        <v>836</v>
      </c>
      <c r="D214" s="6" t="s">
        <v>837</v>
      </c>
      <c r="E214" s="6" t="s">
        <v>167</v>
      </c>
      <c r="F214" s="6" t="s">
        <v>479</v>
      </c>
    </row>
    <row r="215" ht="15.0" customHeight="1">
      <c r="A215" s="6" t="s">
        <v>838</v>
      </c>
      <c r="B215" s="8" t="s">
        <v>219</v>
      </c>
      <c r="C215" s="6" t="s">
        <v>733</v>
      </c>
      <c r="D215" s="6" t="s">
        <v>839</v>
      </c>
      <c r="E215" s="6" t="s">
        <v>167</v>
      </c>
      <c r="F215" s="6" t="s">
        <v>479</v>
      </c>
    </row>
    <row r="216" ht="15.0" customHeight="1">
      <c r="A216" s="6" t="s">
        <v>840</v>
      </c>
      <c r="B216" s="8" t="s">
        <v>219</v>
      </c>
      <c r="C216" s="6" t="s">
        <v>841</v>
      </c>
      <c r="D216" s="6" t="s">
        <v>842</v>
      </c>
      <c r="E216" s="6" t="s">
        <v>167</v>
      </c>
      <c r="F216" s="6" t="s">
        <v>479</v>
      </c>
    </row>
    <row r="217" ht="15.0" customHeight="1">
      <c r="A217" s="6" t="s">
        <v>843</v>
      </c>
      <c r="B217" s="8" t="s">
        <v>219</v>
      </c>
      <c r="C217" s="6" t="s">
        <v>582</v>
      </c>
      <c r="D217" s="6" t="s">
        <v>844</v>
      </c>
      <c r="E217" s="6" t="s">
        <v>167</v>
      </c>
      <c r="F217" s="6" t="s">
        <v>479</v>
      </c>
    </row>
    <row r="218" ht="15.0" customHeight="1">
      <c r="A218" s="6" t="s">
        <v>845</v>
      </c>
      <c r="B218" s="8" t="s">
        <v>226</v>
      </c>
      <c r="C218" s="6" t="s">
        <v>733</v>
      </c>
      <c r="D218" s="6" t="s">
        <v>846</v>
      </c>
      <c r="E218" s="6" t="s">
        <v>167</v>
      </c>
      <c r="F218" s="6" t="s">
        <v>479</v>
      </c>
    </row>
    <row r="219" ht="15.0" customHeight="1">
      <c r="A219" s="6" t="s">
        <v>847</v>
      </c>
      <c r="B219" s="8" t="s">
        <v>226</v>
      </c>
      <c r="C219" s="6" t="s">
        <v>841</v>
      </c>
      <c r="D219" s="6" t="s">
        <v>848</v>
      </c>
      <c r="E219" s="6" t="s">
        <v>167</v>
      </c>
      <c r="F219" s="6" t="s">
        <v>479</v>
      </c>
    </row>
    <row r="220" ht="15.0" customHeight="1">
      <c r="A220" s="6" t="s">
        <v>849</v>
      </c>
      <c r="B220" s="8" t="s">
        <v>226</v>
      </c>
      <c r="C220" s="6" t="s">
        <v>579</v>
      </c>
      <c r="D220" s="6" t="s">
        <v>850</v>
      </c>
      <c r="E220" s="6" t="s">
        <v>167</v>
      </c>
      <c r="F220" s="6" t="s">
        <v>479</v>
      </c>
    </row>
    <row r="221" ht="15.0" customHeight="1">
      <c r="A221" s="6" t="s">
        <v>851</v>
      </c>
      <c r="B221" s="8" t="s">
        <v>226</v>
      </c>
      <c r="C221" s="6" t="s">
        <v>760</v>
      </c>
      <c r="D221" s="6" t="s">
        <v>852</v>
      </c>
      <c r="E221" s="6" t="s">
        <v>167</v>
      </c>
      <c r="F221" s="6" t="s">
        <v>479</v>
      </c>
    </row>
    <row r="222" ht="15.0" customHeight="1">
      <c r="A222" s="6" t="s">
        <v>853</v>
      </c>
      <c r="B222" s="8" t="s">
        <v>226</v>
      </c>
      <c r="C222" s="6" t="s">
        <v>582</v>
      </c>
      <c r="D222" s="6" t="s">
        <v>854</v>
      </c>
      <c r="E222" s="6" t="s">
        <v>167</v>
      </c>
      <c r="F222" s="6" t="s">
        <v>479</v>
      </c>
    </row>
    <row r="223" ht="15.0" customHeight="1">
      <c r="A223" s="6" t="s">
        <v>855</v>
      </c>
      <c r="B223" s="8" t="s">
        <v>226</v>
      </c>
      <c r="C223" s="6" t="s">
        <v>772</v>
      </c>
      <c r="D223" s="6" t="s">
        <v>856</v>
      </c>
      <c r="E223" s="6" t="s">
        <v>167</v>
      </c>
      <c r="F223" s="6" t="s">
        <v>479</v>
      </c>
    </row>
    <row r="224" ht="15.0" customHeight="1">
      <c r="A224" s="6" t="s">
        <v>857</v>
      </c>
      <c r="B224" s="8" t="s">
        <v>226</v>
      </c>
      <c r="C224" s="6" t="s">
        <v>589</v>
      </c>
      <c r="D224" s="6" t="s">
        <v>858</v>
      </c>
      <c r="E224" s="6" t="s">
        <v>184</v>
      </c>
      <c r="F224" s="6" t="s">
        <v>479</v>
      </c>
    </row>
    <row r="225" ht="15.0" customHeight="1">
      <c r="A225" s="6" t="s">
        <v>859</v>
      </c>
      <c r="B225" s="8" t="s">
        <v>226</v>
      </c>
      <c r="C225" s="6" t="s">
        <v>860</v>
      </c>
      <c r="D225" s="6" t="s">
        <v>861</v>
      </c>
      <c r="E225" s="6" t="s">
        <v>167</v>
      </c>
      <c r="F225" s="6" t="s">
        <v>479</v>
      </c>
    </row>
    <row r="226" ht="15.0" customHeight="1">
      <c r="A226" s="6" t="s">
        <v>862</v>
      </c>
      <c r="B226" s="8" t="s">
        <v>226</v>
      </c>
      <c r="C226" s="6" t="s">
        <v>783</v>
      </c>
      <c r="D226" s="6" t="s">
        <v>863</v>
      </c>
      <c r="E226" s="6" t="s">
        <v>167</v>
      </c>
      <c r="F226" s="6" t="s">
        <v>479</v>
      </c>
    </row>
    <row r="227" ht="15.0" customHeight="1">
      <c r="A227" s="6" t="s">
        <v>864</v>
      </c>
      <c r="B227" s="8" t="s">
        <v>233</v>
      </c>
      <c r="C227" s="6" t="s">
        <v>772</v>
      </c>
      <c r="D227" s="6" t="s">
        <v>865</v>
      </c>
      <c r="E227" s="6" t="s">
        <v>167</v>
      </c>
      <c r="F227" s="6" t="s">
        <v>479</v>
      </c>
    </row>
    <row r="228" ht="15.0" customHeight="1">
      <c r="A228" s="6" t="s">
        <v>866</v>
      </c>
      <c r="B228" s="8" t="s">
        <v>233</v>
      </c>
      <c r="C228" s="6" t="s">
        <v>867</v>
      </c>
      <c r="D228" s="6" t="s">
        <v>868</v>
      </c>
      <c r="E228" s="6" t="s">
        <v>167</v>
      </c>
      <c r="F228" s="6" t="s">
        <v>479</v>
      </c>
    </row>
    <row r="229" ht="15.0" customHeight="1">
      <c r="A229" s="6" t="s">
        <v>869</v>
      </c>
      <c r="B229" s="8" t="s">
        <v>239</v>
      </c>
      <c r="C229" s="6" t="s">
        <v>870</v>
      </c>
      <c r="D229" s="6" t="s">
        <v>871</v>
      </c>
      <c r="E229" s="6" t="s">
        <v>167</v>
      </c>
      <c r="F229" s="6" t="s">
        <v>479</v>
      </c>
    </row>
    <row r="230" ht="15.0" customHeight="1">
      <c r="A230" s="6" t="s">
        <v>872</v>
      </c>
      <c r="B230" s="8" t="s">
        <v>239</v>
      </c>
      <c r="C230" s="6" t="s">
        <v>746</v>
      </c>
      <c r="D230" s="6" t="s">
        <v>873</v>
      </c>
      <c r="E230" s="6" t="s">
        <v>167</v>
      </c>
      <c r="F230" s="6" t="s">
        <v>479</v>
      </c>
    </row>
    <row r="231" ht="15.0" customHeight="1">
      <c r="A231" s="6" t="s">
        <v>874</v>
      </c>
      <c r="B231" s="8" t="s">
        <v>239</v>
      </c>
      <c r="C231" s="6" t="s">
        <v>875</v>
      </c>
      <c r="D231" s="6" t="s">
        <v>876</v>
      </c>
      <c r="E231" s="6" t="s">
        <v>167</v>
      </c>
      <c r="F231" s="6" t="s">
        <v>479</v>
      </c>
    </row>
    <row r="232" ht="15.0" customHeight="1">
      <c r="A232" s="6" t="s">
        <v>877</v>
      </c>
      <c r="B232" s="8" t="s">
        <v>239</v>
      </c>
      <c r="C232" s="6" t="s">
        <v>836</v>
      </c>
      <c r="D232" s="6" t="s">
        <v>878</v>
      </c>
      <c r="E232" s="6" t="s">
        <v>167</v>
      </c>
      <c r="F232" s="6" t="s">
        <v>479</v>
      </c>
    </row>
    <row r="233" ht="15.0" customHeight="1">
      <c r="A233" s="6" t="s">
        <v>879</v>
      </c>
      <c r="B233" s="8" t="s">
        <v>239</v>
      </c>
      <c r="C233" s="6" t="s">
        <v>733</v>
      </c>
      <c r="D233" s="6" t="s">
        <v>880</v>
      </c>
      <c r="E233" s="6" t="s">
        <v>167</v>
      </c>
      <c r="F233" s="6" t="s">
        <v>479</v>
      </c>
    </row>
    <row r="234" ht="15.0" customHeight="1">
      <c r="A234" s="6" t="s">
        <v>881</v>
      </c>
      <c r="B234" s="8" t="s">
        <v>239</v>
      </c>
      <c r="C234" s="6" t="s">
        <v>841</v>
      </c>
      <c r="D234" s="6" t="s">
        <v>882</v>
      </c>
      <c r="E234" s="6" t="s">
        <v>184</v>
      </c>
      <c r="F234" s="6" t="s">
        <v>479</v>
      </c>
    </row>
    <row r="235" ht="15.0" customHeight="1">
      <c r="A235" s="6" t="s">
        <v>883</v>
      </c>
      <c r="B235" s="8" t="s">
        <v>239</v>
      </c>
      <c r="C235" s="6" t="s">
        <v>579</v>
      </c>
      <c r="D235" s="6" t="s">
        <v>884</v>
      </c>
      <c r="E235" s="6" t="s">
        <v>167</v>
      </c>
      <c r="F235" s="6" t="s">
        <v>479</v>
      </c>
    </row>
    <row r="236" ht="15.0" customHeight="1">
      <c r="A236" s="6" t="s">
        <v>885</v>
      </c>
      <c r="B236" s="8" t="s">
        <v>239</v>
      </c>
      <c r="C236" s="6" t="s">
        <v>582</v>
      </c>
      <c r="D236" s="6" t="s">
        <v>886</v>
      </c>
      <c r="E236" s="6" t="s">
        <v>167</v>
      </c>
      <c r="F236" s="6" t="s">
        <v>479</v>
      </c>
    </row>
    <row r="237" ht="15.0" customHeight="1">
      <c r="A237" s="6" t="s">
        <v>887</v>
      </c>
      <c r="B237" s="8" t="s">
        <v>239</v>
      </c>
      <c r="C237" s="6" t="s">
        <v>766</v>
      </c>
      <c r="D237" s="6" t="s">
        <v>888</v>
      </c>
      <c r="E237" s="6" t="s">
        <v>167</v>
      </c>
      <c r="F237" s="6" t="s">
        <v>479</v>
      </c>
    </row>
    <row r="238" ht="15.0" customHeight="1">
      <c r="A238" s="6" t="s">
        <v>889</v>
      </c>
      <c r="B238" s="8" t="s">
        <v>239</v>
      </c>
      <c r="C238" s="6" t="s">
        <v>772</v>
      </c>
      <c r="D238" s="6" t="s">
        <v>890</v>
      </c>
      <c r="E238" s="6" t="s">
        <v>167</v>
      </c>
      <c r="F238" s="6" t="s">
        <v>479</v>
      </c>
    </row>
    <row r="239" ht="15.0" customHeight="1">
      <c r="A239" s="6" t="s">
        <v>891</v>
      </c>
      <c r="B239" s="8" t="s">
        <v>239</v>
      </c>
      <c r="C239" s="6" t="s">
        <v>589</v>
      </c>
      <c r="D239" s="6" t="s">
        <v>892</v>
      </c>
      <c r="E239" s="6" t="s">
        <v>167</v>
      </c>
      <c r="F239" s="6" t="s">
        <v>479</v>
      </c>
    </row>
    <row r="240" ht="15.0" customHeight="1">
      <c r="A240" s="6" t="s">
        <v>893</v>
      </c>
      <c r="B240" s="8" t="s">
        <v>239</v>
      </c>
      <c r="C240" s="6" t="s">
        <v>894</v>
      </c>
      <c r="D240" s="6" t="s">
        <v>895</v>
      </c>
      <c r="E240" s="6" t="s">
        <v>167</v>
      </c>
      <c r="F240" s="6" t="s">
        <v>479</v>
      </c>
    </row>
    <row r="241" ht="15.0" customHeight="1">
      <c r="A241" s="6" t="s">
        <v>896</v>
      </c>
      <c r="B241" s="8" t="s">
        <v>239</v>
      </c>
      <c r="C241" s="6" t="s">
        <v>860</v>
      </c>
      <c r="D241" s="6" t="s">
        <v>897</v>
      </c>
      <c r="E241" s="6" t="s">
        <v>167</v>
      </c>
      <c r="F241" s="6" t="s">
        <v>479</v>
      </c>
    </row>
    <row r="242" ht="15.0" customHeight="1">
      <c r="A242" s="6" t="s">
        <v>898</v>
      </c>
      <c r="B242" s="8" t="s">
        <v>239</v>
      </c>
      <c r="C242" s="6" t="s">
        <v>899</v>
      </c>
      <c r="D242" s="6" t="s">
        <v>900</v>
      </c>
      <c r="E242" s="6" t="s">
        <v>167</v>
      </c>
      <c r="F242" s="6" t="s">
        <v>479</v>
      </c>
    </row>
    <row r="243" ht="15.0" customHeight="1">
      <c r="A243" s="6" t="s">
        <v>901</v>
      </c>
      <c r="B243" s="8" t="s">
        <v>245</v>
      </c>
      <c r="C243" s="6" t="s">
        <v>902</v>
      </c>
      <c r="D243" s="6" t="s">
        <v>903</v>
      </c>
      <c r="E243" s="6" t="s">
        <v>167</v>
      </c>
      <c r="F243" s="6" t="s">
        <v>479</v>
      </c>
    </row>
    <row r="244" ht="15.0" customHeight="1">
      <c r="A244" s="6" t="s">
        <v>904</v>
      </c>
      <c r="B244" s="8" t="s">
        <v>245</v>
      </c>
      <c r="C244" s="6" t="s">
        <v>579</v>
      </c>
      <c r="D244" s="6" t="s">
        <v>905</v>
      </c>
      <c r="E244" s="6" t="s">
        <v>167</v>
      </c>
      <c r="F244" s="6" t="s">
        <v>479</v>
      </c>
    </row>
    <row r="245" ht="15.0" customHeight="1">
      <c r="A245" s="6" t="s">
        <v>906</v>
      </c>
      <c r="B245" s="8" t="s">
        <v>245</v>
      </c>
      <c r="C245" s="6" t="s">
        <v>907</v>
      </c>
      <c r="D245" s="6" t="s">
        <v>908</v>
      </c>
      <c r="E245" s="6" t="s">
        <v>167</v>
      </c>
      <c r="F245" s="6" t="s">
        <v>479</v>
      </c>
    </row>
    <row r="246" ht="15.0" customHeight="1">
      <c r="A246" s="6" t="s">
        <v>909</v>
      </c>
      <c r="B246" s="8" t="s">
        <v>245</v>
      </c>
      <c r="C246" s="6" t="s">
        <v>582</v>
      </c>
      <c r="D246" s="6" t="s">
        <v>910</v>
      </c>
      <c r="E246" s="6" t="s">
        <v>167</v>
      </c>
      <c r="F246" s="6" t="s">
        <v>479</v>
      </c>
    </row>
    <row r="247" ht="15.0" customHeight="1">
      <c r="A247" s="6" t="s">
        <v>911</v>
      </c>
      <c r="B247" s="8" t="s">
        <v>245</v>
      </c>
      <c r="C247" s="6" t="s">
        <v>912</v>
      </c>
      <c r="D247" s="6" t="s">
        <v>913</v>
      </c>
      <c r="E247" s="6" t="s">
        <v>167</v>
      </c>
      <c r="F247" s="6" t="s">
        <v>479</v>
      </c>
    </row>
    <row r="248" ht="15.0" customHeight="1">
      <c r="A248" s="6" t="s">
        <v>914</v>
      </c>
      <c r="B248" s="8" t="s">
        <v>245</v>
      </c>
      <c r="C248" s="6" t="s">
        <v>769</v>
      </c>
      <c r="D248" s="6" t="s">
        <v>915</v>
      </c>
      <c r="E248" s="6" t="s">
        <v>167</v>
      </c>
      <c r="F248" s="6" t="s">
        <v>479</v>
      </c>
    </row>
    <row r="249" ht="15.0" customHeight="1">
      <c r="A249" s="6" t="s">
        <v>916</v>
      </c>
      <c r="B249" s="8" t="s">
        <v>245</v>
      </c>
      <c r="C249" s="6" t="s">
        <v>772</v>
      </c>
      <c r="D249" s="6" t="s">
        <v>917</v>
      </c>
      <c r="E249" s="6" t="s">
        <v>167</v>
      </c>
      <c r="F249" s="6" t="s">
        <v>479</v>
      </c>
    </row>
    <row r="250" ht="15.0" customHeight="1">
      <c r="A250" s="6" t="s">
        <v>918</v>
      </c>
      <c r="B250" s="8" t="s">
        <v>245</v>
      </c>
      <c r="C250" s="6" t="s">
        <v>919</v>
      </c>
      <c r="D250" s="6" t="s">
        <v>920</v>
      </c>
      <c r="E250" s="6" t="s">
        <v>167</v>
      </c>
      <c r="F250" s="6" t="s">
        <v>479</v>
      </c>
    </row>
    <row r="251" ht="15.0" customHeight="1">
      <c r="A251" s="6" t="s">
        <v>921</v>
      </c>
      <c r="B251" s="8" t="s">
        <v>245</v>
      </c>
      <c r="C251" s="6" t="s">
        <v>894</v>
      </c>
      <c r="D251" s="6" t="s">
        <v>922</v>
      </c>
      <c r="E251" s="6" t="s">
        <v>167</v>
      </c>
      <c r="F251" s="6" t="s">
        <v>479</v>
      </c>
    </row>
    <row r="252" ht="15.0" customHeight="1">
      <c r="A252" s="6" t="s">
        <v>923</v>
      </c>
      <c r="B252" s="8" t="s">
        <v>249</v>
      </c>
      <c r="C252" s="6" t="s">
        <v>439</v>
      </c>
      <c r="D252" s="6" t="s">
        <v>924</v>
      </c>
      <c r="E252" s="6" t="s">
        <v>167</v>
      </c>
      <c r="F252" s="6" t="s">
        <v>176</v>
      </c>
    </row>
    <row r="253" ht="15.0" customHeight="1">
      <c r="A253" s="6" t="s">
        <v>925</v>
      </c>
      <c r="B253" s="8" t="s">
        <v>249</v>
      </c>
      <c r="C253" s="6" t="s">
        <v>926</v>
      </c>
      <c r="D253" s="6" t="s">
        <v>927</v>
      </c>
      <c r="E253" s="6"/>
      <c r="F253" s="6"/>
    </row>
    <row r="254" ht="15.0" customHeight="1">
      <c r="A254" s="6" t="s">
        <v>928</v>
      </c>
      <c r="B254" s="8" t="s">
        <v>249</v>
      </c>
      <c r="C254" s="6" t="s">
        <v>442</v>
      </c>
      <c r="D254" s="6" t="s">
        <v>929</v>
      </c>
      <c r="E254" s="6" t="s">
        <v>167</v>
      </c>
      <c r="F254" s="6" t="s">
        <v>176</v>
      </c>
    </row>
    <row r="255" ht="15.0" customHeight="1">
      <c r="A255" s="6" t="s">
        <v>930</v>
      </c>
      <c r="B255" s="8" t="s">
        <v>249</v>
      </c>
      <c r="C255" s="6" t="s">
        <v>931</v>
      </c>
      <c r="D255" s="6" t="s">
        <v>931</v>
      </c>
      <c r="E255" s="6" t="s">
        <v>167</v>
      </c>
      <c r="F255" s="6" t="s">
        <v>176</v>
      </c>
    </row>
    <row r="256" ht="15.0" customHeight="1">
      <c r="A256" s="6" t="s">
        <v>932</v>
      </c>
      <c r="B256" s="8" t="s">
        <v>249</v>
      </c>
      <c r="C256" s="6" t="s">
        <v>445</v>
      </c>
      <c r="D256" s="6" t="s">
        <v>933</v>
      </c>
      <c r="E256" s="6" t="s">
        <v>167</v>
      </c>
      <c r="F256" s="6" t="s">
        <v>176</v>
      </c>
    </row>
    <row r="257" ht="15.0" customHeight="1">
      <c r="A257" s="6" t="s">
        <v>934</v>
      </c>
      <c r="B257" s="8" t="s">
        <v>253</v>
      </c>
      <c r="C257" s="6" t="s">
        <v>935</v>
      </c>
      <c r="D257" s="6" t="s">
        <v>936</v>
      </c>
      <c r="E257" s="6" t="s">
        <v>167</v>
      </c>
      <c r="F257" s="6" t="s">
        <v>479</v>
      </c>
    </row>
    <row r="258" ht="15.0" customHeight="1">
      <c r="A258" s="6" t="s">
        <v>937</v>
      </c>
      <c r="B258" s="8" t="s">
        <v>258</v>
      </c>
      <c r="C258" s="6" t="s">
        <v>938</v>
      </c>
      <c r="D258" s="6" t="s">
        <v>939</v>
      </c>
      <c r="E258" s="6" t="s">
        <v>167</v>
      </c>
      <c r="F258" s="6" t="s">
        <v>479</v>
      </c>
    </row>
    <row r="259" ht="15.0" customHeight="1">
      <c r="A259" s="6" t="s">
        <v>940</v>
      </c>
      <c r="B259" s="8" t="s">
        <v>258</v>
      </c>
      <c r="C259" s="6" t="s">
        <v>941</v>
      </c>
      <c r="D259" s="6" t="s">
        <v>942</v>
      </c>
      <c r="E259" s="6" t="s">
        <v>167</v>
      </c>
      <c r="F259" s="6" t="s">
        <v>479</v>
      </c>
    </row>
    <row r="260" ht="15.0" customHeight="1">
      <c r="A260" s="6" t="s">
        <v>943</v>
      </c>
      <c r="B260" s="8" t="s">
        <v>258</v>
      </c>
      <c r="C260" s="6" t="s">
        <v>944</v>
      </c>
      <c r="D260" s="6" t="s">
        <v>945</v>
      </c>
      <c r="E260" s="6" t="s">
        <v>167</v>
      </c>
      <c r="F260" s="6" t="s">
        <v>479</v>
      </c>
    </row>
    <row r="261" ht="15.0" customHeight="1">
      <c r="A261" s="6" t="s">
        <v>946</v>
      </c>
      <c r="B261" s="8" t="s">
        <v>258</v>
      </c>
      <c r="C261" s="6" t="s">
        <v>947</v>
      </c>
      <c r="D261" s="6" t="s">
        <v>948</v>
      </c>
      <c r="E261" s="6" t="s">
        <v>167</v>
      </c>
      <c r="F261" s="6" t="s">
        <v>479</v>
      </c>
    </row>
    <row r="262" ht="15.0" customHeight="1">
      <c r="A262" s="6" t="s">
        <v>949</v>
      </c>
      <c r="B262" s="8" t="s">
        <v>258</v>
      </c>
      <c r="C262" s="6" t="s">
        <v>950</v>
      </c>
      <c r="D262" s="6" t="s">
        <v>951</v>
      </c>
      <c r="E262" s="6" t="s">
        <v>167</v>
      </c>
      <c r="F262" s="6" t="s">
        <v>479</v>
      </c>
    </row>
    <row r="263" ht="15.0" customHeight="1">
      <c r="A263" s="6" t="s">
        <v>952</v>
      </c>
      <c r="B263" s="8" t="s">
        <v>258</v>
      </c>
      <c r="C263" s="6" t="s">
        <v>953</v>
      </c>
      <c r="D263" s="6" t="s">
        <v>954</v>
      </c>
      <c r="E263" s="6" t="s">
        <v>167</v>
      </c>
      <c r="F263" s="6" t="s">
        <v>479</v>
      </c>
    </row>
    <row r="264" ht="15.0" customHeight="1">
      <c r="A264" s="6" t="s">
        <v>955</v>
      </c>
      <c r="B264" s="8" t="s">
        <v>258</v>
      </c>
      <c r="C264" s="6" t="s">
        <v>477</v>
      </c>
      <c r="D264" s="6" t="s">
        <v>956</v>
      </c>
      <c r="E264" s="6" t="s">
        <v>167</v>
      </c>
      <c r="F264" s="6" t="s">
        <v>479</v>
      </c>
    </row>
    <row r="265" ht="15.0" customHeight="1">
      <c r="A265" s="6" t="s">
        <v>957</v>
      </c>
      <c r="B265" s="8" t="s">
        <v>258</v>
      </c>
      <c r="C265" s="6" t="s">
        <v>481</v>
      </c>
      <c r="D265" s="6" t="s">
        <v>958</v>
      </c>
      <c r="E265" s="6" t="s">
        <v>167</v>
      </c>
      <c r="F265" s="6" t="s">
        <v>479</v>
      </c>
    </row>
    <row r="266" ht="15.0" customHeight="1">
      <c r="A266" s="6" t="s">
        <v>959</v>
      </c>
      <c r="B266" s="8" t="s">
        <v>258</v>
      </c>
      <c r="C266" s="6" t="s">
        <v>960</v>
      </c>
      <c r="D266" s="6" t="s">
        <v>961</v>
      </c>
      <c r="E266" s="6" t="s">
        <v>167</v>
      </c>
      <c r="F266" s="6" t="s">
        <v>479</v>
      </c>
    </row>
    <row r="267" ht="15.0" customHeight="1">
      <c r="A267" s="6" t="s">
        <v>962</v>
      </c>
      <c r="B267" s="8" t="s">
        <v>258</v>
      </c>
      <c r="C267" s="6" t="s">
        <v>963</v>
      </c>
      <c r="D267" s="6" t="s">
        <v>964</v>
      </c>
      <c r="E267" s="6" t="s">
        <v>167</v>
      </c>
      <c r="F267" s="6" t="s">
        <v>479</v>
      </c>
    </row>
    <row r="268" ht="15.0" customHeight="1">
      <c r="A268" s="6" t="s">
        <v>965</v>
      </c>
      <c r="B268" s="8" t="s">
        <v>258</v>
      </c>
      <c r="C268" s="6" t="s">
        <v>966</v>
      </c>
      <c r="D268" s="6" t="s">
        <v>967</v>
      </c>
      <c r="E268" s="6" t="s">
        <v>167</v>
      </c>
      <c r="F268" s="6" t="s">
        <v>479</v>
      </c>
    </row>
    <row r="269" ht="15.0" customHeight="1">
      <c r="A269" s="6" t="s">
        <v>968</v>
      </c>
      <c r="B269" s="8" t="s">
        <v>258</v>
      </c>
      <c r="C269" s="6" t="s">
        <v>668</v>
      </c>
      <c r="D269" s="6" t="s">
        <v>969</v>
      </c>
      <c r="E269" s="6" t="s">
        <v>167</v>
      </c>
      <c r="F269" s="6" t="s">
        <v>479</v>
      </c>
    </row>
    <row r="270" ht="15.0" customHeight="1">
      <c r="A270" s="6" t="s">
        <v>970</v>
      </c>
      <c r="B270" s="8" t="s">
        <v>258</v>
      </c>
      <c r="C270" s="6" t="s">
        <v>971</v>
      </c>
      <c r="D270" s="6" t="s">
        <v>972</v>
      </c>
      <c r="E270" s="6" t="s">
        <v>167</v>
      </c>
      <c r="F270" s="6" t="s">
        <v>479</v>
      </c>
    </row>
    <row r="271" ht="15.0" customHeight="1">
      <c r="A271" s="6" t="s">
        <v>973</v>
      </c>
      <c r="B271" s="8" t="s">
        <v>258</v>
      </c>
      <c r="C271" s="6" t="s">
        <v>526</v>
      </c>
      <c r="D271" s="6" t="s">
        <v>974</v>
      </c>
      <c r="E271" s="6" t="s">
        <v>167</v>
      </c>
      <c r="F271" s="6" t="s">
        <v>479</v>
      </c>
    </row>
    <row r="272" ht="15.0" customHeight="1">
      <c r="A272" s="6" t="s">
        <v>975</v>
      </c>
      <c r="B272" s="8" t="s">
        <v>258</v>
      </c>
      <c r="C272" s="6" t="s">
        <v>544</v>
      </c>
      <c r="D272" s="6" t="s">
        <v>976</v>
      </c>
      <c r="E272" s="6" t="s">
        <v>167</v>
      </c>
      <c r="F272" s="6" t="s">
        <v>479</v>
      </c>
    </row>
    <row r="273" ht="15.0" customHeight="1">
      <c r="A273" s="6" t="s">
        <v>977</v>
      </c>
      <c r="B273" s="8" t="s">
        <v>258</v>
      </c>
      <c r="C273" s="6" t="s">
        <v>547</v>
      </c>
      <c r="D273" s="6" t="s">
        <v>978</v>
      </c>
      <c r="E273" s="6" t="s">
        <v>167</v>
      </c>
      <c r="F273" s="6" t="s">
        <v>479</v>
      </c>
    </row>
    <row r="274" ht="15.0" customHeight="1">
      <c r="A274" s="6" t="s">
        <v>979</v>
      </c>
      <c r="B274" s="8" t="s">
        <v>258</v>
      </c>
      <c r="C274" s="6" t="s">
        <v>980</v>
      </c>
      <c r="D274" s="6" t="s">
        <v>981</v>
      </c>
      <c r="E274" s="6" t="s">
        <v>167</v>
      </c>
      <c r="F274" s="6" t="s">
        <v>479</v>
      </c>
    </row>
    <row r="275" ht="15.0" customHeight="1">
      <c r="A275" s="6" t="s">
        <v>982</v>
      </c>
      <c r="B275" s="8" t="s">
        <v>258</v>
      </c>
      <c r="C275" s="6" t="s">
        <v>935</v>
      </c>
      <c r="D275" s="6" t="s">
        <v>983</v>
      </c>
      <c r="E275" s="6" t="s">
        <v>167</v>
      </c>
      <c r="F275" s="6" t="s">
        <v>479</v>
      </c>
    </row>
    <row r="276" ht="15.0" customHeight="1">
      <c r="A276" s="6" t="s">
        <v>984</v>
      </c>
      <c r="B276" s="8" t="s">
        <v>258</v>
      </c>
      <c r="C276" s="6" t="s">
        <v>484</v>
      </c>
      <c r="D276" s="6" t="s">
        <v>985</v>
      </c>
      <c r="E276" s="6" t="s">
        <v>167</v>
      </c>
      <c r="F276" s="6" t="s">
        <v>479</v>
      </c>
    </row>
    <row r="277" ht="15.0" customHeight="1">
      <c r="A277" s="6" t="s">
        <v>986</v>
      </c>
      <c r="B277" s="8" t="s">
        <v>258</v>
      </c>
      <c r="C277" s="6" t="s">
        <v>987</v>
      </c>
      <c r="D277" s="6" t="s">
        <v>988</v>
      </c>
      <c r="E277" s="6" t="s">
        <v>167</v>
      </c>
      <c r="F277" s="6" t="s">
        <v>479</v>
      </c>
    </row>
    <row r="278" ht="15.0" customHeight="1">
      <c r="A278" s="6" t="s">
        <v>989</v>
      </c>
      <c r="B278" s="8" t="s">
        <v>258</v>
      </c>
      <c r="C278" s="6" t="s">
        <v>487</v>
      </c>
      <c r="D278" s="6" t="s">
        <v>990</v>
      </c>
      <c r="E278" s="6" t="s">
        <v>167</v>
      </c>
      <c r="F278" s="6" t="s">
        <v>479</v>
      </c>
    </row>
    <row r="279" ht="15.0" customHeight="1">
      <c r="A279" s="6" t="s">
        <v>991</v>
      </c>
      <c r="B279" s="8" t="s">
        <v>258</v>
      </c>
      <c r="C279" s="6" t="s">
        <v>490</v>
      </c>
      <c r="D279" s="6" t="s">
        <v>992</v>
      </c>
      <c r="E279" s="6" t="s">
        <v>167</v>
      </c>
      <c r="F279" s="6" t="s">
        <v>479</v>
      </c>
    </row>
    <row r="280" ht="15.0" customHeight="1">
      <c r="A280" s="6" t="s">
        <v>993</v>
      </c>
      <c r="B280" s="8" t="s">
        <v>258</v>
      </c>
      <c r="C280" s="6" t="s">
        <v>493</v>
      </c>
      <c r="D280" s="6" t="s">
        <v>994</v>
      </c>
      <c r="E280" s="6" t="s">
        <v>167</v>
      </c>
      <c r="F280" s="6" t="s">
        <v>479</v>
      </c>
    </row>
    <row r="281" ht="15.0" customHeight="1">
      <c r="A281" s="6" t="s">
        <v>995</v>
      </c>
      <c r="B281" s="8" t="s">
        <v>258</v>
      </c>
      <c r="C281" s="6" t="s">
        <v>496</v>
      </c>
      <c r="D281" s="6" t="s">
        <v>996</v>
      </c>
      <c r="E281" s="6" t="s">
        <v>167</v>
      </c>
      <c r="F281" s="6" t="s">
        <v>479</v>
      </c>
    </row>
    <row r="282" ht="15.0" customHeight="1">
      <c r="A282" s="6" t="s">
        <v>997</v>
      </c>
      <c r="B282" s="8" t="s">
        <v>258</v>
      </c>
      <c r="C282" s="6" t="s">
        <v>559</v>
      </c>
      <c r="D282" s="6" t="s">
        <v>998</v>
      </c>
      <c r="E282" s="6" t="s">
        <v>167</v>
      </c>
      <c r="F282" s="6" t="s">
        <v>479</v>
      </c>
    </row>
    <row r="283" ht="15.0" customHeight="1">
      <c r="A283" s="6" t="s">
        <v>999</v>
      </c>
      <c r="B283" s="8" t="s">
        <v>258</v>
      </c>
      <c r="C283" s="6" t="s">
        <v>1000</v>
      </c>
      <c r="D283" s="6" t="s">
        <v>1001</v>
      </c>
      <c r="E283" s="6" t="s">
        <v>167</v>
      </c>
      <c r="F283" s="6" t="s">
        <v>479</v>
      </c>
    </row>
    <row r="284" ht="15.0" customHeight="1">
      <c r="A284" s="6" t="s">
        <v>1002</v>
      </c>
      <c r="B284" s="8" t="s">
        <v>258</v>
      </c>
      <c r="C284" s="6" t="s">
        <v>1003</v>
      </c>
      <c r="D284" s="6" t="s">
        <v>1004</v>
      </c>
      <c r="E284" s="6" t="s">
        <v>167</v>
      </c>
      <c r="F284" s="6" t="s">
        <v>479</v>
      </c>
    </row>
    <row r="285" ht="15.0" customHeight="1">
      <c r="A285" s="6" t="s">
        <v>1005</v>
      </c>
      <c r="B285" s="8" t="s">
        <v>258</v>
      </c>
      <c r="C285" s="6" t="s">
        <v>1006</v>
      </c>
      <c r="D285" s="6" t="s">
        <v>1007</v>
      </c>
      <c r="E285" s="6" t="s">
        <v>167</v>
      </c>
      <c r="F285" s="6" t="s">
        <v>479</v>
      </c>
    </row>
    <row r="286" ht="15.0" customHeight="1">
      <c r="A286" s="6" t="s">
        <v>1008</v>
      </c>
      <c r="B286" s="8" t="s">
        <v>258</v>
      </c>
      <c r="C286" s="6" t="s">
        <v>1009</v>
      </c>
      <c r="D286" s="6" t="s">
        <v>1010</v>
      </c>
      <c r="E286" s="6" t="s">
        <v>167</v>
      </c>
      <c r="F286" s="6" t="s">
        <v>479</v>
      </c>
    </row>
    <row r="287" ht="15.0" customHeight="1">
      <c r="A287" s="6" t="s">
        <v>1011</v>
      </c>
      <c r="B287" s="8" t="s">
        <v>258</v>
      </c>
      <c r="C287" s="6" t="s">
        <v>1012</v>
      </c>
      <c r="D287" s="6" t="s">
        <v>1013</v>
      </c>
      <c r="E287" s="6" t="s">
        <v>167</v>
      </c>
      <c r="F287" s="6" t="s">
        <v>479</v>
      </c>
    </row>
    <row r="288" ht="15.0" customHeight="1">
      <c r="A288" s="6" t="s">
        <v>1014</v>
      </c>
      <c r="B288" s="8" t="s">
        <v>258</v>
      </c>
      <c r="C288" s="6" t="s">
        <v>1015</v>
      </c>
      <c r="D288" s="6" t="s">
        <v>1016</v>
      </c>
      <c r="E288" s="6" t="s">
        <v>167</v>
      </c>
      <c r="F288" s="6" t="s">
        <v>479</v>
      </c>
    </row>
    <row r="289" ht="15.0" customHeight="1">
      <c r="A289" s="6" t="s">
        <v>1017</v>
      </c>
      <c r="B289" s="8" t="s">
        <v>258</v>
      </c>
      <c r="C289" s="6" t="s">
        <v>1018</v>
      </c>
      <c r="D289" s="6" t="s">
        <v>1019</v>
      </c>
      <c r="E289" s="6" t="s">
        <v>167</v>
      </c>
      <c r="F289" s="6" t="s">
        <v>479</v>
      </c>
    </row>
    <row r="290" ht="15.0" customHeight="1">
      <c r="A290" s="6" t="s">
        <v>1020</v>
      </c>
      <c r="B290" s="8" t="s">
        <v>258</v>
      </c>
      <c r="C290" s="6" t="s">
        <v>508</v>
      </c>
      <c r="D290" s="6" t="s">
        <v>1021</v>
      </c>
      <c r="E290" s="6" t="s">
        <v>167</v>
      </c>
      <c r="F290" s="6" t="s">
        <v>479</v>
      </c>
    </row>
    <row r="291" ht="15.0" customHeight="1">
      <c r="A291" s="6" t="s">
        <v>1022</v>
      </c>
      <c r="B291" s="8" t="s">
        <v>258</v>
      </c>
      <c r="C291" s="6" t="s">
        <v>1023</v>
      </c>
      <c r="D291" s="6" t="s">
        <v>1024</v>
      </c>
      <c r="E291" s="6" t="s">
        <v>167</v>
      </c>
      <c r="F291" s="6" t="s">
        <v>479</v>
      </c>
    </row>
    <row r="292" ht="15.0" customHeight="1">
      <c r="A292" s="6" t="s">
        <v>1025</v>
      </c>
      <c r="B292" s="8" t="s">
        <v>258</v>
      </c>
      <c r="C292" s="6" t="s">
        <v>1026</v>
      </c>
      <c r="D292" s="6" t="s">
        <v>1027</v>
      </c>
      <c r="E292" s="6" t="s">
        <v>167</v>
      </c>
      <c r="F292" s="6" t="s">
        <v>479</v>
      </c>
    </row>
    <row r="293" ht="15.0" customHeight="1">
      <c r="A293" s="6" t="s">
        <v>1028</v>
      </c>
      <c r="B293" s="8" t="s">
        <v>258</v>
      </c>
      <c r="C293" s="6" t="s">
        <v>1029</v>
      </c>
      <c r="D293" s="6" t="s">
        <v>1030</v>
      </c>
      <c r="E293" s="6" t="s">
        <v>184</v>
      </c>
      <c r="F293" s="6" t="s">
        <v>479</v>
      </c>
    </row>
    <row r="294" ht="15.0" customHeight="1">
      <c r="A294" s="6" t="s">
        <v>1031</v>
      </c>
      <c r="B294" s="8" t="s">
        <v>258</v>
      </c>
      <c r="C294" s="6" t="s">
        <v>1032</v>
      </c>
      <c r="D294" s="6" t="s">
        <v>1033</v>
      </c>
      <c r="E294" s="6" t="s">
        <v>184</v>
      </c>
      <c r="F294" s="6" t="s">
        <v>479</v>
      </c>
    </row>
    <row r="295" ht="15.0" customHeight="1">
      <c r="A295" s="6" t="s">
        <v>1034</v>
      </c>
      <c r="B295" s="8" t="s">
        <v>258</v>
      </c>
      <c r="C295" s="6" t="s">
        <v>1035</v>
      </c>
      <c r="D295" s="6" t="s">
        <v>1036</v>
      </c>
      <c r="E295" s="6" t="s">
        <v>167</v>
      </c>
      <c r="F295" s="6" t="s">
        <v>479</v>
      </c>
    </row>
    <row r="296" ht="15.0" customHeight="1">
      <c r="A296" s="6" t="s">
        <v>1037</v>
      </c>
      <c r="B296" s="8" t="s">
        <v>258</v>
      </c>
      <c r="C296" s="6" t="s">
        <v>1038</v>
      </c>
      <c r="D296" s="6" t="s">
        <v>1039</v>
      </c>
      <c r="E296" s="6" t="s">
        <v>167</v>
      </c>
      <c r="F296" s="6" t="s">
        <v>479</v>
      </c>
    </row>
    <row r="297" ht="15.0" customHeight="1">
      <c r="A297" s="6" t="s">
        <v>1040</v>
      </c>
      <c r="B297" s="8" t="s">
        <v>258</v>
      </c>
      <c r="C297" s="6" t="s">
        <v>1041</v>
      </c>
      <c r="D297" s="6" t="s">
        <v>1042</v>
      </c>
      <c r="E297" s="6" t="s">
        <v>167</v>
      </c>
      <c r="F297" s="6" t="s">
        <v>479</v>
      </c>
    </row>
    <row r="298" ht="15.0" customHeight="1">
      <c r="A298" s="6" t="s">
        <v>1043</v>
      </c>
      <c r="B298" s="8" t="s">
        <v>258</v>
      </c>
      <c r="C298" s="6" t="s">
        <v>1044</v>
      </c>
      <c r="D298" s="6" t="s">
        <v>1045</v>
      </c>
      <c r="E298" s="6" t="s">
        <v>167</v>
      </c>
      <c r="F298" s="6" t="s">
        <v>479</v>
      </c>
    </row>
    <row r="299" ht="15.0" customHeight="1">
      <c r="A299" s="6" t="s">
        <v>1046</v>
      </c>
      <c r="B299" s="8" t="s">
        <v>258</v>
      </c>
      <c r="C299" s="6" t="s">
        <v>1047</v>
      </c>
      <c r="D299" s="6" t="s">
        <v>1048</v>
      </c>
      <c r="E299" s="6" t="s">
        <v>167</v>
      </c>
      <c r="F299" s="6" t="s">
        <v>479</v>
      </c>
    </row>
    <row r="300" ht="15.0" customHeight="1">
      <c r="A300" s="6" t="s">
        <v>1049</v>
      </c>
      <c r="B300" s="8" t="s">
        <v>258</v>
      </c>
      <c r="C300" s="6" t="s">
        <v>520</v>
      </c>
      <c r="D300" s="6" t="s">
        <v>1050</v>
      </c>
      <c r="E300" s="6" t="s">
        <v>167</v>
      </c>
      <c r="F300" s="6" t="s">
        <v>479</v>
      </c>
    </row>
    <row r="301" ht="15.0" customHeight="1">
      <c r="A301" s="6" t="s">
        <v>1051</v>
      </c>
      <c r="B301" s="8" t="s">
        <v>258</v>
      </c>
      <c r="C301" s="6" t="s">
        <v>1052</v>
      </c>
      <c r="D301" s="6" t="s">
        <v>1053</v>
      </c>
      <c r="E301" s="6" t="s">
        <v>167</v>
      </c>
      <c r="F301" s="6" t="s">
        <v>479</v>
      </c>
    </row>
    <row r="302" ht="15.0" customHeight="1">
      <c r="A302" s="6" t="s">
        <v>1054</v>
      </c>
      <c r="B302" s="8" t="s">
        <v>258</v>
      </c>
      <c r="C302" s="6" t="s">
        <v>1055</v>
      </c>
      <c r="D302" s="6" t="s">
        <v>1056</v>
      </c>
      <c r="E302" s="6" t="s">
        <v>167</v>
      </c>
      <c r="F302" s="6" t="s">
        <v>479</v>
      </c>
    </row>
    <row r="303" ht="15.0" customHeight="1">
      <c r="A303" s="6" t="s">
        <v>1057</v>
      </c>
      <c r="B303" s="8" t="s">
        <v>258</v>
      </c>
      <c r="C303" s="6" t="s">
        <v>1058</v>
      </c>
      <c r="D303" s="6" t="s">
        <v>1059</v>
      </c>
      <c r="E303" s="6" t="s">
        <v>167</v>
      </c>
      <c r="F303" s="6" t="s">
        <v>479</v>
      </c>
    </row>
    <row r="304" ht="15.0" customHeight="1">
      <c r="A304" s="6" t="s">
        <v>1060</v>
      </c>
      <c r="B304" s="8" t="s">
        <v>258</v>
      </c>
      <c r="C304" s="6" t="s">
        <v>1061</v>
      </c>
      <c r="D304" s="6" t="s">
        <v>1062</v>
      </c>
      <c r="E304" s="6" t="s">
        <v>167</v>
      </c>
      <c r="F304" s="6" t="s">
        <v>479</v>
      </c>
    </row>
    <row r="305" ht="15.0" customHeight="1">
      <c r="A305" s="6" t="s">
        <v>1063</v>
      </c>
      <c r="B305" s="8" t="s">
        <v>258</v>
      </c>
      <c r="C305" s="6" t="s">
        <v>1064</v>
      </c>
      <c r="D305" s="6" t="s">
        <v>1065</v>
      </c>
      <c r="E305" s="6" t="s">
        <v>167</v>
      </c>
      <c r="F305" s="6" t="s">
        <v>479</v>
      </c>
    </row>
    <row r="306" ht="15.0" customHeight="1">
      <c r="A306" s="6" t="s">
        <v>1066</v>
      </c>
      <c r="B306" s="8" t="s">
        <v>263</v>
      </c>
      <c r="C306" s="6" t="s">
        <v>547</v>
      </c>
      <c r="D306" s="6" t="s">
        <v>1067</v>
      </c>
      <c r="E306" s="6" t="s">
        <v>167</v>
      </c>
      <c r="F306" s="6" t="s">
        <v>479</v>
      </c>
    </row>
    <row r="307" ht="15.0" customHeight="1">
      <c r="A307" s="6" t="s">
        <v>1068</v>
      </c>
      <c r="B307" s="8" t="s">
        <v>263</v>
      </c>
      <c r="C307" s="6" t="s">
        <v>1069</v>
      </c>
      <c r="D307" s="6" t="s">
        <v>1070</v>
      </c>
      <c r="E307" s="6" t="s">
        <v>167</v>
      </c>
      <c r="F307" s="6" t="s">
        <v>479</v>
      </c>
    </row>
    <row r="308" ht="15.0" customHeight="1">
      <c r="A308" s="6" t="s">
        <v>1071</v>
      </c>
      <c r="B308" s="8" t="s">
        <v>263</v>
      </c>
      <c r="C308" s="6" t="s">
        <v>935</v>
      </c>
      <c r="D308" s="6" t="s">
        <v>1072</v>
      </c>
      <c r="E308" s="6" t="s">
        <v>167</v>
      </c>
      <c r="F308" s="6" t="s">
        <v>479</v>
      </c>
    </row>
    <row r="309" ht="15.0" customHeight="1">
      <c r="A309" s="6" t="s">
        <v>1073</v>
      </c>
      <c r="B309" s="8" t="s">
        <v>263</v>
      </c>
      <c r="C309" s="6" t="s">
        <v>1074</v>
      </c>
      <c r="D309" s="6" t="s">
        <v>1075</v>
      </c>
      <c r="E309" s="6" t="s">
        <v>167</v>
      </c>
      <c r="F309" s="6" t="s">
        <v>479</v>
      </c>
    </row>
    <row r="310" ht="15.0" customHeight="1">
      <c r="A310" s="6" t="s">
        <v>1076</v>
      </c>
      <c r="B310" s="8" t="s">
        <v>263</v>
      </c>
      <c r="C310" s="6" t="s">
        <v>484</v>
      </c>
      <c r="D310" s="6" t="s">
        <v>1077</v>
      </c>
      <c r="E310" s="6" t="s">
        <v>167</v>
      </c>
      <c r="F310" s="6" t="s">
        <v>479</v>
      </c>
    </row>
    <row r="311" ht="15.0" customHeight="1">
      <c r="A311" s="6" t="s">
        <v>1078</v>
      </c>
      <c r="B311" s="8" t="s">
        <v>263</v>
      </c>
      <c r="C311" s="6" t="s">
        <v>1079</v>
      </c>
      <c r="D311" s="6" t="s">
        <v>1080</v>
      </c>
      <c r="E311" s="6" t="s">
        <v>167</v>
      </c>
      <c r="F311" s="6" t="s">
        <v>479</v>
      </c>
    </row>
    <row r="312" ht="15.0" customHeight="1">
      <c r="A312" s="6" t="s">
        <v>1081</v>
      </c>
      <c r="B312" s="8" t="s">
        <v>263</v>
      </c>
      <c r="C312" s="6" t="s">
        <v>487</v>
      </c>
      <c r="D312" s="6" t="s">
        <v>1082</v>
      </c>
      <c r="E312" s="6" t="s">
        <v>167</v>
      </c>
      <c r="F312" s="6" t="s">
        <v>479</v>
      </c>
    </row>
    <row r="313" ht="15.0" customHeight="1">
      <c r="A313" s="6" t="s">
        <v>1083</v>
      </c>
      <c r="B313" s="8" t="s">
        <v>263</v>
      </c>
      <c r="C313" s="6" t="s">
        <v>1084</v>
      </c>
      <c r="D313" s="6" t="s">
        <v>1085</v>
      </c>
      <c r="E313" s="6" t="s">
        <v>167</v>
      </c>
      <c r="F313" s="6" t="s">
        <v>479</v>
      </c>
    </row>
    <row r="314" ht="15.0" customHeight="1">
      <c r="A314" s="6" t="s">
        <v>1086</v>
      </c>
      <c r="B314" s="8" t="s">
        <v>263</v>
      </c>
      <c r="C314" s="6" t="s">
        <v>490</v>
      </c>
      <c r="D314" s="6" t="s">
        <v>1087</v>
      </c>
      <c r="E314" s="6" t="s">
        <v>167</v>
      </c>
      <c r="F314" s="6" t="s">
        <v>479</v>
      </c>
    </row>
    <row r="315" ht="15.0" customHeight="1">
      <c r="A315" s="6" t="s">
        <v>1088</v>
      </c>
      <c r="B315" s="8" t="s">
        <v>263</v>
      </c>
      <c r="C315" s="6" t="s">
        <v>496</v>
      </c>
      <c r="D315" s="6" t="s">
        <v>1089</v>
      </c>
      <c r="E315" s="6" t="s">
        <v>167</v>
      </c>
      <c r="F315" s="6" t="s">
        <v>479</v>
      </c>
    </row>
    <row r="316" ht="15.0" customHeight="1">
      <c r="A316" s="6" t="s">
        <v>1090</v>
      </c>
      <c r="B316" s="8" t="s">
        <v>268</v>
      </c>
      <c r="C316" s="6" t="s">
        <v>490</v>
      </c>
      <c r="D316" s="6" t="s">
        <v>1091</v>
      </c>
      <c r="E316" s="6" t="s">
        <v>167</v>
      </c>
      <c r="F316" s="6" t="s">
        <v>479</v>
      </c>
    </row>
    <row r="317" ht="15.0" customHeight="1">
      <c r="A317" s="6" t="s">
        <v>1092</v>
      </c>
      <c r="B317" s="8" t="s">
        <v>273</v>
      </c>
      <c r="C317" s="6" t="s">
        <v>477</v>
      </c>
      <c r="D317" s="6" t="s">
        <v>1093</v>
      </c>
      <c r="E317" s="6" t="s">
        <v>167</v>
      </c>
      <c r="F317" s="6" t="s">
        <v>479</v>
      </c>
    </row>
    <row r="318" ht="15.0" customHeight="1">
      <c r="A318" s="6" t="s">
        <v>1094</v>
      </c>
      <c r="B318" s="8" t="s">
        <v>273</v>
      </c>
      <c r="C318" s="6" t="s">
        <v>1095</v>
      </c>
      <c r="D318" s="6" t="s">
        <v>1096</v>
      </c>
      <c r="E318" s="6" t="s">
        <v>167</v>
      </c>
      <c r="F318" s="6" t="s">
        <v>479</v>
      </c>
    </row>
    <row r="319" ht="15.0" customHeight="1">
      <c r="A319" s="6" t="s">
        <v>1097</v>
      </c>
      <c r="B319" s="8" t="s">
        <v>273</v>
      </c>
      <c r="C319" s="6" t="s">
        <v>481</v>
      </c>
      <c r="D319" s="6" t="s">
        <v>1098</v>
      </c>
      <c r="E319" s="6" t="s">
        <v>167</v>
      </c>
      <c r="F319" s="6" t="s">
        <v>479</v>
      </c>
    </row>
    <row r="320" ht="15.0" customHeight="1">
      <c r="A320" s="6" t="s">
        <v>1099</v>
      </c>
      <c r="B320" s="8" t="s">
        <v>273</v>
      </c>
      <c r="C320" s="6" t="s">
        <v>1100</v>
      </c>
      <c r="D320" s="6" t="s">
        <v>1101</v>
      </c>
      <c r="E320" s="6" t="s">
        <v>167</v>
      </c>
      <c r="F320" s="6" t="s">
        <v>479</v>
      </c>
    </row>
    <row r="321" ht="15.0" customHeight="1">
      <c r="A321" s="6" t="s">
        <v>1102</v>
      </c>
      <c r="B321" s="8" t="s">
        <v>273</v>
      </c>
      <c r="C321" s="6" t="s">
        <v>963</v>
      </c>
      <c r="D321" s="6" t="s">
        <v>1103</v>
      </c>
      <c r="E321" s="6" t="s">
        <v>167</v>
      </c>
      <c r="F321" s="6" t="s">
        <v>479</v>
      </c>
    </row>
    <row r="322" ht="15.0" customHeight="1">
      <c r="A322" s="6" t="s">
        <v>1104</v>
      </c>
      <c r="B322" s="8" t="s">
        <v>273</v>
      </c>
      <c r="C322" s="6" t="s">
        <v>966</v>
      </c>
      <c r="D322" s="6" t="s">
        <v>1105</v>
      </c>
      <c r="E322" s="6" t="s">
        <v>167</v>
      </c>
      <c r="F322" s="6" t="s">
        <v>479</v>
      </c>
    </row>
    <row r="323" ht="15.0" customHeight="1">
      <c r="A323" s="6" t="s">
        <v>1106</v>
      </c>
      <c r="B323" s="8" t="s">
        <v>273</v>
      </c>
      <c r="C323" s="6" t="s">
        <v>547</v>
      </c>
      <c r="D323" s="6" t="s">
        <v>1107</v>
      </c>
      <c r="E323" s="6" t="s">
        <v>167</v>
      </c>
      <c r="F323" s="6" t="s">
        <v>479</v>
      </c>
    </row>
    <row r="324" ht="15.0" customHeight="1">
      <c r="A324" s="6" t="s">
        <v>1108</v>
      </c>
      <c r="B324" s="8" t="s">
        <v>273</v>
      </c>
      <c r="C324" s="6" t="s">
        <v>1069</v>
      </c>
      <c r="D324" s="6" t="s">
        <v>1109</v>
      </c>
      <c r="E324" s="6" t="s">
        <v>167</v>
      </c>
      <c r="F324" s="6" t="s">
        <v>479</v>
      </c>
    </row>
    <row r="325" ht="15.0" customHeight="1">
      <c r="A325" s="6" t="s">
        <v>1110</v>
      </c>
      <c r="B325" s="8" t="s">
        <v>273</v>
      </c>
      <c r="C325" s="6" t="s">
        <v>935</v>
      </c>
      <c r="D325" s="6" t="s">
        <v>1111</v>
      </c>
      <c r="E325" s="6" t="s">
        <v>167</v>
      </c>
      <c r="F325" s="6" t="s">
        <v>479</v>
      </c>
    </row>
    <row r="326" ht="15.0" customHeight="1">
      <c r="A326" s="6" t="s">
        <v>1112</v>
      </c>
      <c r="B326" s="8" t="s">
        <v>273</v>
      </c>
      <c r="C326" s="6" t="s">
        <v>1074</v>
      </c>
      <c r="D326" s="6" t="s">
        <v>1113</v>
      </c>
      <c r="E326" s="6" t="s">
        <v>167</v>
      </c>
      <c r="F326" s="6" t="s">
        <v>479</v>
      </c>
    </row>
    <row r="327" ht="15.0" customHeight="1">
      <c r="A327" s="6" t="s">
        <v>1114</v>
      </c>
      <c r="B327" s="8" t="s">
        <v>273</v>
      </c>
      <c r="C327" s="6" t="s">
        <v>484</v>
      </c>
      <c r="D327" s="6" t="s">
        <v>1115</v>
      </c>
      <c r="E327" s="6" t="s">
        <v>167</v>
      </c>
      <c r="F327" s="6" t="s">
        <v>479</v>
      </c>
    </row>
    <row r="328" ht="15.0" customHeight="1">
      <c r="A328" s="6" t="s">
        <v>1116</v>
      </c>
      <c r="B328" s="8" t="s">
        <v>273</v>
      </c>
      <c r="C328" s="6" t="s">
        <v>1079</v>
      </c>
      <c r="D328" s="6" t="s">
        <v>1117</v>
      </c>
      <c r="E328" s="6" t="s">
        <v>167</v>
      </c>
      <c r="F328" s="6" t="s">
        <v>479</v>
      </c>
    </row>
    <row r="329" ht="15.0" customHeight="1">
      <c r="A329" s="6" t="s">
        <v>1118</v>
      </c>
      <c r="B329" s="8" t="s">
        <v>273</v>
      </c>
      <c r="C329" s="6" t="s">
        <v>487</v>
      </c>
      <c r="D329" s="6" t="s">
        <v>1119</v>
      </c>
      <c r="E329" s="6" t="s">
        <v>167</v>
      </c>
      <c r="F329" s="6" t="s">
        <v>479</v>
      </c>
    </row>
    <row r="330" ht="15.0" customHeight="1">
      <c r="A330" s="6" t="s">
        <v>1120</v>
      </c>
      <c r="B330" s="8" t="s">
        <v>273</v>
      </c>
      <c r="C330" s="6" t="s">
        <v>1084</v>
      </c>
      <c r="D330" s="6" t="s">
        <v>1121</v>
      </c>
      <c r="E330" s="6" t="s">
        <v>167</v>
      </c>
      <c r="F330" s="6" t="s">
        <v>479</v>
      </c>
    </row>
    <row r="331" ht="15.0" customHeight="1">
      <c r="A331" s="6" t="s">
        <v>1122</v>
      </c>
      <c r="B331" s="8" t="s">
        <v>273</v>
      </c>
      <c r="C331" s="6" t="s">
        <v>490</v>
      </c>
      <c r="D331" s="6" t="s">
        <v>1123</v>
      </c>
      <c r="E331" s="6" t="s">
        <v>167</v>
      </c>
      <c r="F331" s="6" t="s">
        <v>479</v>
      </c>
    </row>
    <row r="332" ht="15.0" customHeight="1">
      <c r="A332" s="6" t="s">
        <v>1124</v>
      </c>
      <c r="B332" s="8" t="s">
        <v>273</v>
      </c>
      <c r="C332" s="6" t="s">
        <v>493</v>
      </c>
      <c r="D332" s="6" t="s">
        <v>1125</v>
      </c>
      <c r="E332" s="6" t="s">
        <v>167</v>
      </c>
      <c r="F332" s="6" t="s">
        <v>479</v>
      </c>
    </row>
    <row r="333" ht="15.0" customHeight="1">
      <c r="A333" s="6" t="s">
        <v>1126</v>
      </c>
      <c r="B333" s="8" t="s">
        <v>273</v>
      </c>
      <c r="C333" s="6" t="s">
        <v>496</v>
      </c>
      <c r="D333" s="6" t="s">
        <v>1127</v>
      </c>
      <c r="E333" s="6" t="s">
        <v>167</v>
      </c>
      <c r="F333" s="6" t="s">
        <v>479</v>
      </c>
    </row>
    <row r="334" ht="15.0" customHeight="1">
      <c r="A334" s="6" t="s">
        <v>1128</v>
      </c>
      <c r="B334" s="8" t="s">
        <v>273</v>
      </c>
      <c r="C334" s="6" t="s">
        <v>559</v>
      </c>
      <c r="D334" s="6" t="s">
        <v>1129</v>
      </c>
      <c r="E334" s="6" t="s">
        <v>167</v>
      </c>
      <c r="F334" s="6" t="s">
        <v>479</v>
      </c>
    </row>
    <row r="335" ht="15.0" customHeight="1">
      <c r="A335" s="6" t="s">
        <v>1130</v>
      </c>
      <c r="B335" s="8" t="s">
        <v>273</v>
      </c>
      <c r="C335" s="6" t="s">
        <v>502</v>
      </c>
      <c r="D335" s="6" t="s">
        <v>1131</v>
      </c>
      <c r="E335" s="6" t="s">
        <v>167</v>
      </c>
      <c r="F335" s="6" t="s">
        <v>479</v>
      </c>
    </row>
    <row r="336" ht="15.0" customHeight="1">
      <c r="A336" s="6" t="s">
        <v>1132</v>
      </c>
      <c r="B336" s="8" t="s">
        <v>273</v>
      </c>
      <c r="C336" s="6" t="s">
        <v>508</v>
      </c>
      <c r="D336" s="6" t="s">
        <v>1133</v>
      </c>
      <c r="E336" s="6" t="s">
        <v>184</v>
      </c>
      <c r="F336" s="6" t="s">
        <v>479</v>
      </c>
    </row>
    <row r="337" ht="15.0" customHeight="1">
      <c r="A337" s="6" t="s">
        <v>1134</v>
      </c>
      <c r="B337" s="8" t="s">
        <v>273</v>
      </c>
      <c r="C337" s="6" t="s">
        <v>1023</v>
      </c>
      <c r="D337" s="6" t="s">
        <v>1135</v>
      </c>
      <c r="E337" s="6" t="s">
        <v>167</v>
      </c>
      <c r="F337" s="6" t="s">
        <v>479</v>
      </c>
    </row>
    <row r="338" ht="15.0" customHeight="1">
      <c r="A338" s="6" t="s">
        <v>1136</v>
      </c>
      <c r="B338" s="8" t="s">
        <v>273</v>
      </c>
      <c r="C338" s="6" t="s">
        <v>1137</v>
      </c>
      <c r="D338" s="6" t="s">
        <v>1138</v>
      </c>
      <c r="E338" s="6" t="s">
        <v>167</v>
      </c>
      <c r="F338" s="6" t="s">
        <v>479</v>
      </c>
    </row>
    <row r="339" ht="15.0" customHeight="1">
      <c r="A339" s="6" t="s">
        <v>1139</v>
      </c>
      <c r="B339" s="8" t="s">
        <v>273</v>
      </c>
      <c r="C339" s="6" t="s">
        <v>1140</v>
      </c>
      <c r="D339" s="6" t="s">
        <v>1141</v>
      </c>
      <c r="E339" s="6" t="s">
        <v>167</v>
      </c>
      <c r="F339" s="6" t="s">
        <v>479</v>
      </c>
    </row>
    <row r="340" ht="15.0" customHeight="1">
      <c r="A340" s="6" t="s">
        <v>1142</v>
      </c>
      <c r="B340" s="8" t="s">
        <v>278</v>
      </c>
      <c r="C340" s="6" t="s">
        <v>1095</v>
      </c>
      <c r="D340" s="6" t="s">
        <v>1143</v>
      </c>
      <c r="E340" s="6" t="s">
        <v>167</v>
      </c>
      <c r="F340" s="6" t="s">
        <v>479</v>
      </c>
    </row>
    <row r="341" ht="15.0" customHeight="1">
      <c r="A341" s="6" t="s">
        <v>1144</v>
      </c>
      <c r="B341" s="8" t="s">
        <v>278</v>
      </c>
      <c r="C341" s="6" t="s">
        <v>481</v>
      </c>
      <c r="D341" s="6" t="s">
        <v>1145</v>
      </c>
      <c r="E341" s="6" t="s">
        <v>167</v>
      </c>
      <c r="F341" s="6" t="s">
        <v>479</v>
      </c>
    </row>
    <row r="342" ht="15.0" customHeight="1">
      <c r="A342" s="6" t="s">
        <v>1146</v>
      </c>
      <c r="B342" s="8" t="s">
        <v>278</v>
      </c>
      <c r="C342" s="6" t="s">
        <v>609</v>
      </c>
      <c r="D342" s="6" t="s">
        <v>1147</v>
      </c>
      <c r="E342" s="6" t="s">
        <v>167</v>
      </c>
      <c r="F342" s="6" t="s">
        <v>479</v>
      </c>
    </row>
    <row r="343" ht="15.0" customHeight="1">
      <c r="A343" s="6" t="s">
        <v>1148</v>
      </c>
      <c r="B343" s="8" t="s">
        <v>278</v>
      </c>
      <c r="C343" s="6" t="s">
        <v>484</v>
      </c>
      <c r="D343" s="6" t="s">
        <v>1149</v>
      </c>
      <c r="E343" s="6" t="s">
        <v>167</v>
      </c>
      <c r="F343" s="6" t="s">
        <v>479</v>
      </c>
    </row>
    <row r="344" ht="15.0" customHeight="1">
      <c r="A344" s="6" t="s">
        <v>1150</v>
      </c>
      <c r="B344" s="8" t="s">
        <v>278</v>
      </c>
      <c r="C344" s="6" t="s">
        <v>1079</v>
      </c>
      <c r="D344" s="6" t="s">
        <v>1151</v>
      </c>
      <c r="E344" s="6" t="s">
        <v>167</v>
      </c>
      <c r="F344" s="6" t="s">
        <v>479</v>
      </c>
    </row>
    <row r="345" ht="15.0" customHeight="1">
      <c r="A345" s="6" t="s">
        <v>1152</v>
      </c>
      <c r="B345" s="8" t="s">
        <v>278</v>
      </c>
      <c r="C345" s="6" t="s">
        <v>487</v>
      </c>
      <c r="D345" s="6" t="s">
        <v>1153</v>
      </c>
      <c r="E345" s="6" t="s">
        <v>167</v>
      </c>
      <c r="F345" s="6" t="s">
        <v>479</v>
      </c>
    </row>
    <row r="346" ht="15.0" customHeight="1">
      <c r="A346" s="6" t="s">
        <v>1154</v>
      </c>
      <c r="B346" s="8" t="s">
        <v>278</v>
      </c>
      <c r="C346" s="6" t="s">
        <v>1084</v>
      </c>
      <c r="D346" s="6" t="s">
        <v>1155</v>
      </c>
      <c r="E346" s="6" t="s">
        <v>167</v>
      </c>
      <c r="F346" s="6" t="s">
        <v>479</v>
      </c>
    </row>
    <row r="347" ht="15.0" customHeight="1">
      <c r="A347" s="6" t="s">
        <v>1156</v>
      </c>
      <c r="B347" s="8" t="s">
        <v>278</v>
      </c>
      <c r="C347" s="6" t="s">
        <v>490</v>
      </c>
      <c r="D347" s="6" t="s">
        <v>1157</v>
      </c>
      <c r="E347" s="6" t="s">
        <v>167</v>
      </c>
      <c r="F347" s="6" t="s">
        <v>479</v>
      </c>
    </row>
    <row r="348" ht="15.0" customHeight="1">
      <c r="A348" s="6" t="s">
        <v>1158</v>
      </c>
      <c r="B348" s="8" t="s">
        <v>278</v>
      </c>
      <c r="C348" s="6" t="s">
        <v>1159</v>
      </c>
      <c r="D348" s="6" t="s">
        <v>1160</v>
      </c>
      <c r="E348" s="6" t="s">
        <v>167</v>
      </c>
      <c r="F348" s="6" t="s">
        <v>479</v>
      </c>
    </row>
    <row r="349" ht="15.0" customHeight="1">
      <c r="A349" s="6" t="s">
        <v>1161</v>
      </c>
      <c r="B349" s="8" t="s">
        <v>278</v>
      </c>
      <c r="C349" s="6" t="s">
        <v>496</v>
      </c>
      <c r="D349" s="6" t="s">
        <v>1162</v>
      </c>
      <c r="E349" s="6" t="s">
        <v>167</v>
      </c>
      <c r="F349" s="6" t="s">
        <v>479</v>
      </c>
    </row>
    <row r="350" ht="15.0" customHeight="1">
      <c r="A350" s="6" t="s">
        <v>1163</v>
      </c>
      <c r="B350" s="8" t="s">
        <v>283</v>
      </c>
      <c r="C350" s="6" t="s">
        <v>598</v>
      </c>
      <c r="D350" s="6" t="s">
        <v>1164</v>
      </c>
      <c r="E350" s="6" t="s">
        <v>167</v>
      </c>
      <c r="F350" s="6" t="s">
        <v>479</v>
      </c>
    </row>
    <row r="351" ht="15.0" customHeight="1">
      <c r="A351" s="6" t="s">
        <v>1165</v>
      </c>
      <c r="B351" s="8" t="s">
        <v>283</v>
      </c>
      <c r="C351" s="6" t="s">
        <v>650</v>
      </c>
      <c r="D351" s="6" t="s">
        <v>1166</v>
      </c>
      <c r="E351" s="6" t="s">
        <v>167</v>
      </c>
      <c r="F351" s="6" t="s">
        <v>479</v>
      </c>
    </row>
    <row r="352" ht="15.0" customHeight="1">
      <c r="A352" s="6" t="s">
        <v>1167</v>
      </c>
      <c r="B352" s="8" t="s">
        <v>283</v>
      </c>
      <c r="C352" s="6" t="s">
        <v>1168</v>
      </c>
      <c r="D352" s="6" t="s">
        <v>1169</v>
      </c>
      <c r="E352" s="6" t="s">
        <v>167</v>
      </c>
      <c r="F352" s="6" t="s">
        <v>479</v>
      </c>
    </row>
    <row r="353" ht="15.0" customHeight="1">
      <c r="A353" s="6" t="s">
        <v>1170</v>
      </c>
      <c r="B353" s="8" t="s">
        <v>283</v>
      </c>
      <c r="C353" s="6" t="s">
        <v>653</v>
      </c>
      <c r="D353" s="6" t="s">
        <v>1171</v>
      </c>
      <c r="E353" s="6" t="s">
        <v>167</v>
      </c>
      <c r="F353" s="6" t="s">
        <v>479</v>
      </c>
    </row>
    <row r="354" ht="15.0" customHeight="1">
      <c r="A354" s="6" t="s">
        <v>1172</v>
      </c>
      <c r="B354" s="8" t="s">
        <v>283</v>
      </c>
      <c r="C354" s="6" t="s">
        <v>601</v>
      </c>
      <c r="D354" s="6" t="s">
        <v>1173</v>
      </c>
      <c r="E354" s="6" t="s">
        <v>167</v>
      </c>
      <c r="F354" s="6" t="s">
        <v>479</v>
      </c>
    </row>
    <row r="355" ht="15.0" customHeight="1">
      <c r="A355" s="6" t="s">
        <v>1174</v>
      </c>
      <c r="B355" s="8" t="s">
        <v>283</v>
      </c>
      <c r="C355" s="6" t="s">
        <v>1175</v>
      </c>
      <c r="D355" s="6" t="s">
        <v>1176</v>
      </c>
      <c r="E355" s="6" t="s">
        <v>167</v>
      </c>
      <c r="F355" s="6" t="s">
        <v>479</v>
      </c>
    </row>
    <row r="356" ht="15.0" customHeight="1">
      <c r="A356" s="6" t="s">
        <v>1177</v>
      </c>
      <c r="B356" s="8" t="s">
        <v>283</v>
      </c>
      <c r="C356" s="6" t="s">
        <v>589</v>
      </c>
      <c r="D356" s="6" t="s">
        <v>1178</v>
      </c>
      <c r="E356" s="6" t="s">
        <v>167</v>
      </c>
      <c r="F356" s="6" t="s">
        <v>479</v>
      </c>
    </row>
    <row r="357" ht="15.0" customHeight="1">
      <c r="A357" s="6" t="s">
        <v>1179</v>
      </c>
      <c r="B357" s="8" t="s">
        <v>283</v>
      </c>
      <c r="C357" s="6" t="s">
        <v>606</v>
      </c>
      <c r="D357" s="6" t="s">
        <v>1180</v>
      </c>
      <c r="E357" s="6" t="s">
        <v>167</v>
      </c>
      <c r="F357" s="6" t="s">
        <v>479</v>
      </c>
    </row>
    <row r="358" ht="15.0" customHeight="1">
      <c r="A358" s="6" t="s">
        <v>1181</v>
      </c>
      <c r="B358" s="8" t="s">
        <v>283</v>
      </c>
      <c r="C358" s="6" t="s">
        <v>1182</v>
      </c>
      <c r="D358" s="6" t="s">
        <v>1183</v>
      </c>
      <c r="E358" s="6" t="s">
        <v>167</v>
      </c>
      <c r="F358" s="6" t="s">
        <v>479</v>
      </c>
    </row>
    <row r="359" ht="15.0" customHeight="1">
      <c r="A359" s="6" t="s">
        <v>1184</v>
      </c>
      <c r="B359" s="8" t="s">
        <v>283</v>
      </c>
      <c r="C359" s="6" t="s">
        <v>609</v>
      </c>
      <c r="D359" s="6" t="s">
        <v>1185</v>
      </c>
      <c r="E359" s="6" t="s">
        <v>167</v>
      </c>
      <c r="F359" s="6" t="s">
        <v>479</v>
      </c>
    </row>
    <row r="360" ht="15.0" customHeight="1">
      <c r="A360" s="6" t="s">
        <v>1186</v>
      </c>
      <c r="B360" s="8" t="s">
        <v>283</v>
      </c>
      <c r="C360" s="6" t="s">
        <v>612</v>
      </c>
      <c r="D360" s="6" t="s">
        <v>1187</v>
      </c>
      <c r="E360" s="6" t="s">
        <v>167</v>
      </c>
      <c r="F360" s="6" t="s">
        <v>479</v>
      </c>
    </row>
    <row r="361" ht="15.0" customHeight="1">
      <c r="A361" s="6" t="s">
        <v>1188</v>
      </c>
      <c r="B361" s="8" t="s">
        <v>283</v>
      </c>
      <c r="C361" s="6" t="s">
        <v>668</v>
      </c>
      <c r="D361" s="6" t="s">
        <v>1189</v>
      </c>
      <c r="E361" s="6" t="s">
        <v>167</v>
      </c>
      <c r="F361" s="6" t="s">
        <v>479</v>
      </c>
    </row>
    <row r="362" ht="15.0" customHeight="1">
      <c r="A362" s="6" t="s">
        <v>1190</v>
      </c>
      <c r="B362" s="8" t="s">
        <v>287</v>
      </c>
      <c r="C362" s="6" t="s">
        <v>439</v>
      </c>
      <c r="D362" s="6" t="s">
        <v>1191</v>
      </c>
      <c r="E362" s="6" t="s">
        <v>167</v>
      </c>
      <c r="F362" s="6" t="s">
        <v>176</v>
      </c>
    </row>
    <row r="363" ht="15.0" customHeight="1">
      <c r="A363" s="6" t="s">
        <v>1192</v>
      </c>
      <c r="B363" s="8" t="s">
        <v>287</v>
      </c>
      <c r="C363" s="6" t="s">
        <v>465</v>
      </c>
      <c r="D363" s="6" t="s">
        <v>1193</v>
      </c>
      <c r="E363" s="6" t="s">
        <v>167</v>
      </c>
      <c r="F363" s="6" t="s">
        <v>176</v>
      </c>
    </row>
    <row r="364" ht="15.0" customHeight="1">
      <c r="A364" s="6" t="s">
        <v>1194</v>
      </c>
      <c r="B364" s="8" t="s">
        <v>287</v>
      </c>
      <c r="C364" s="6" t="s">
        <v>703</v>
      </c>
      <c r="D364" s="6" t="s">
        <v>1195</v>
      </c>
      <c r="E364" s="6" t="s">
        <v>167</v>
      </c>
      <c r="F364" s="6" t="s">
        <v>176</v>
      </c>
    </row>
    <row r="365" ht="15.0" customHeight="1">
      <c r="A365" s="6" t="s">
        <v>1196</v>
      </c>
      <c r="B365" s="8" t="s">
        <v>287</v>
      </c>
      <c r="C365" s="6" t="s">
        <v>472</v>
      </c>
      <c r="D365" s="6" t="s">
        <v>1197</v>
      </c>
      <c r="E365" s="6" t="s">
        <v>167</v>
      </c>
      <c r="F365" s="6" t="s">
        <v>176</v>
      </c>
    </row>
    <row r="366" ht="15.0" customHeight="1">
      <c r="A366" s="6" t="s">
        <v>1198</v>
      </c>
      <c r="B366" s="8" t="s">
        <v>287</v>
      </c>
      <c r="C366" s="6" t="s">
        <v>442</v>
      </c>
      <c r="D366" s="6" t="s">
        <v>1199</v>
      </c>
      <c r="E366" s="6" t="s">
        <v>167</v>
      </c>
      <c r="F366" s="6" t="s">
        <v>176</v>
      </c>
    </row>
    <row r="367" ht="15.0" customHeight="1">
      <c r="A367" s="6" t="s">
        <v>1200</v>
      </c>
      <c r="B367" s="8" t="s">
        <v>287</v>
      </c>
      <c r="C367" s="6" t="s">
        <v>445</v>
      </c>
      <c r="D367" s="6" t="s">
        <v>1201</v>
      </c>
      <c r="E367" s="6" t="s">
        <v>1202</v>
      </c>
      <c r="F367" s="6" t="s">
        <v>176</v>
      </c>
    </row>
    <row r="368" ht="15.0" customHeight="1">
      <c r="A368" s="6" t="s">
        <v>1203</v>
      </c>
      <c r="B368" s="8" t="s">
        <v>290</v>
      </c>
      <c r="C368" s="6" t="s">
        <v>442</v>
      </c>
      <c r="D368" s="6" t="s">
        <v>1204</v>
      </c>
      <c r="E368" s="6" t="s">
        <v>167</v>
      </c>
      <c r="F368" s="6" t="s">
        <v>176</v>
      </c>
    </row>
    <row r="369" ht="15.0" customHeight="1">
      <c r="A369" s="6" t="s">
        <v>1205</v>
      </c>
      <c r="B369" s="8" t="s">
        <v>290</v>
      </c>
      <c r="C369" s="6" t="s">
        <v>696</v>
      </c>
      <c r="D369" s="6" t="s">
        <v>1206</v>
      </c>
      <c r="E369" s="6" t="s">
        <v>167</v>
      </c>
      <c r="F369" s="6" t="s">
        <v>176</v>
      </c>
    </row>
    <row r="370" ht="15.0" customHeight="1">
      <c r="A370" s="6" t="s">
        <v>1207</v>
      </c>
      <c r="B370" s="8" t="s">
        <v>294</v>
      </c>
      <c r="C370" s="6" t="s">
        <v>439</v>
      </c>
      <c r="D370" s="6" t="s">
        <v>1208</v>
      </c>
      <c r="E370" s="6" t="s">
        <v>167</v>
      </c>
      <c r="F370" s="6" t="s">
        <v>168</v>
      </c>
    </row>
    <row r="371" ht="15.0" customHeight="1">
      <c r="A371" s="6" t="s">
        <v>1209</v>
      </c>
      <c r="B371" s="8" t="s">
        <v>294</v>
      </c>
      <c r="C371" s="6" t="s">
        <v>445</v>
      </c>
      <c r="D371" s="6" t="s">
        <v>1210</v>
      </c>
      <c r="E371" s="6" t="s">
        <v>167</v>
      </c>
      <c r="F371" s="6" t="s">
        <v>176</v>
      </c>
    </row>
    <row r="372" ht="15.0" customHeight="1">
      <c r="A372" s="6" t="s">
        <v>1211</v>
      </c>
      <c r="B372" s="8" t="s">
        <v>299</v>
      </c>
      <c r="C372" s="6" t="s">
        <v>439</v>
      </c>
      <c r="D372" s="6" t="s">
        <v>1212</v>
      </c>
      <c r="E372" s="6" t="s">
        <v>167</v>
      </c>
      <c r="F372" s="6" t="s">
        <v>176</v>
      </c>
    </row>
    <row r="373" ht="15.0" customHeight="1">
      <c r="A373" s="6" t="s">
        <v>1213</v>
      </c>
      <c r="B373" s="8" t="s">
        <v>299</v>
      </c>
      <c r="C373" s="6" t="s">
        <v>448</v>
      </c>
      <c r="D373" s="6" t="s">
        <v>1214</v>
      </c>
      <c r="E373" s="6" t="s">
        <v>167</v>
      </c>
      <c r="F373" s="6" t="s">
        <v>176</v>
      </c>
    </row>
    <row r="374" ht="15.0" customHeight="1">
      <c r="A374" s="6" t="s">
        <v>1215</v>
      </c>
      <c r="B374" s="8" t="s">
        <v>299</v>
      </c>
      <c r="C374" s="6" t="s">
        <v>442</v>
      </c>
      <c r="D374" s="6" t="s">
        <v>1216</v>
      </c>
      <c r="E374" s="6" t="s">
        <v>167</v>
      </c>
      <c r="F374" s="6" t="s">
        <v>176</v>
      </c>
    </row>
    <row r="375" ht="15.0" customHeight="1">
      <c r="A375" s="6" t="s">
        <v>1217</v>
      </c>
      <c r="B375" s="8" t="s">
        <v>304</v>
      </c>
      <c r="C375" s="6" t="s">
        <v>439</v>
      </c>
      <c r="D375" s="6" t="s">
        <v>1218</v>
      </c>
      <c r="E375" s="6" t="s">
        <v>167</v>
      </c>
      <c r="F375" s="6" t="s">
        <v>176</v>
      </c>
    </row>
    <row r="376" ht="15.0" customHeight="1">
      <c r="A376" s="6" t="s">
        <v>1219</v>
      </c>
      <c r="B376" s="8" t="s">
        <v>304</v>
      </c>
      <c r="C376" s="6" t="s">
        <v>439</v>
      </c>
      <c r="D376" s="6" t="s">
        <v>1220</v>
      </c>
      <c r="E376" s="6" t="s">
        <v>167</v>
      </c>
      <c r="F376" s="6" t="s">
        <v>176</v>
      </c>
    </row>
    <row r="377" ht="15.0" customHeight="1">
      <c r="A377" s="6" t="s">
        <v>1221</v>
      </c>
      <c r="B377" s="8" t="s">
        <v>304</v>
      </c>
      <c r="C377" s="6" t="s">
        <v>472</v>
      </c>
      <c r="D377" s="6" t="s">
        <v>1222</v>
      </c>
      <c r="E377" s="6" t="s">
        <v>167</v>
      </c>
      <c r="F377" s="6" t="s">
        <v>176</v>
      </c>
    </row>
    <row r="378" ht="15.0" customHeight="1">
      <c r="A378" s="6" t="s">
        <v>1223</v>
      </c>
      <c r="B378" s="8" t="s">
        <v>309</v>
      </c>
      <c r="C378" s="6" t="s">
        <v>439</v>
      </c>
      <c r="D378" s="6" t="s">
        <v>1224</v>
      </c>
      <c r="E378" s="6" t="s">
        <v>167</v>
      </c>
      <c r="F378" s="6" t="s">
        <v>176</v>
      </c>
    </row>
    <row r="379" ht="15.0" customHeight="1">
      <c r="A379" s="6" t="s">
        <v>1225</v>
      </c>
      <c r="B379" s="8" t="s">
        <v>314</v>
      </c>
      <c r="C379" s="6" t="s">
        <v>439</v>
      </c>
      <c r="D379" s="6" t="s">
        <v>1226</v>
      </c>
      <c r="E379" s="6" t="s">
        <v>167</v>
      </c>
      <c r="F379" s="6" t="s">
        <v>168</v>
      </c>
    </row>
    <row r="380" ht="15.0" customHeight="1">
      <c r="A380" s="6" t="s">
        <v>1227</v>
      </c>
      <c r="B380" s="8" t="s">
        <v>318</v>
      </c>
      <c r="C380" s="6" t="s">
        <v>439</v>
      </c>
      <c r="D380" s="6" t="s">
        <v>1228</v>
      </c>
      <c r="E380" s="6" t="s">
        <v>167</v>
      </c>
      <c r="F380" s="6" t="s">
        <v>176</v>
      </c>
    </row>
    <row r="381" ht="15.0" customHeight="1">
      <c r="A381" s="6" t="s">
        <v>1229</v>
      </c>
      <c r="B381" s="8" t="s">
        <v>318</v>
      </c>
      <c r="C381" s="6" t="s">
        <v>465</v>
      </c>
      <c r="D381" s="6" t="s">
        <v>1230</v>
      </c>
      <c r="E381" s="6" t="s">
        <v>167</v>
      </c>
      <c r="F381" s="6" t="s">
        <v>176</v>
      </c>
    </row>
    <row r="382" ht="15.0" customHeight="1">
      <c r="A382" s="6" t="s">
        <v>1231</v>
      </c>
      <c r="B382" s="8" t="s">
        <v>318</v>
      </c>
      <c r="C382" s="6" t="s">
        <v>472</v>
      </c>
      <c r="D382" s="6" t="s">
        <v>1232</v>
      </c>
      <c r="E382" s="6" t="s">
        <v>167</v>
      </c>
      <c r="F382" s="6" t="s">
        <v>176</v>
      </c>
    </row>
    <row r="383" ht="15.0" customHeight="1">
      <c r="A383" s="6" t="s">
        <v>1233</v>
      </c>
      <c r="B383" s="8" t="s">
        <v>318</v>
      </c>
      <c r="C383" s="6" t="s">
        <v>442</v>
      </c>
      <c r="D383" s="6" t="s">
        <v>1234</v>
      </c>
      <c r="E383" s="6" t="s">
        <v>167</v>
      </c>
      <c r="F383" s="6" t="s">
        <v>176</v>
      </c>
    </row>
    <row r="384" ht="15.0" customHeight="1">
      <c r="A384" s="6" t="s">
        <v>1235</v>
      </c>
      <c r="B384" s="8" t="s">
        <v>318</v>
      </c>
      <c r="C384" s="6" t="s">
        <v>1236</v>
      </c>
      <c r="D384" s="6" t="s">
        <v>1236</v>
      </c>
      <c r="E384" s="6" t="s">
        <v>167</v>
      </c>
      <c r="F384" s="6" t="s">
        <v>176</v>
      </c>
    </row>
    <row r="385" ht="15.0" customHeight="1">
      <c r="A385" s="6" t="s">
        <v>1237</v>
      </c>
      <c r="B385" s="8" t="s">
        <v>322</v>
      </c>
      <c r="C385" s="6" t="s">
        <v>439</v>
      </c>
      <c r="D385" s="6" t="s">
        <v>1238</v>
      </c>
      <c r="E385" s="6" t="s">
        <v>184</v>
      </c>
      <c r="F385" s="6" t="s">
        <v>176</v>
      </c>
    </row>
    <row r="386" ht="15.0" customHeight="1">
      <c r="A386" s="6" t="s">
        <v>1239</v>
      </c>
      <c r="B386" s="8" t="s">
        <v>322</v>
      </c>
      <c r="C386" s="6" t="s">
        <v>465</v>
      </c>
      <c r="D386" s="6" t="s">
        <v>1240</v>
      </c>
      <c r="E386" s="6" t="s">
        <v>167</v>
      </c>
      <c r="F386" s="6" t="s">
        <v>176</v>
      </c>
    </row>
    <row r="387" ht="15.0" customHeight="1">
      <c r="A387" s="6" t="s">
        <v>1241</v>
      </c>
      <c r="B387" s="8" t="s">
        <v>322</v>
      </c>
      <c r="C387" s="6" t="s">
        <v>442</v>
      </c>
      <c r="D387" s="6" t="s">
        <v>1242</v>
      </c>
      <c r="E387" s="6" t="s">
        <v>167</v>
      </c>
      <c r="F387" s="6" t="s">
        <v>176</v>
      </c>
    </row>
    <row r="388" ht="15.0" customHeight="1">
      <c r="A388" s="6" t="s">
        <v>1243</v>
      </c>
      <c r="B388" s="8" t="s">
        <v>330</v>
      </c>
      <c r="C388" s="6" t="s">
        <v>1244</v>
      </c>
      <c r="D388" s="6" t="s">
        <v>1245</v>
      </c>
      <c r="E388" s="6" t="s">
        <v>167</v>
      </c>
      <c r="F388" s="6" t="s">
        <v>694</v>
      </c>
    </row>
    <row r="389" ht="15.0" customHeight="1">
      <c r="A389" s="6" t="s">
        <v>1246</v>
      </c>
      <c r="B389" s="8" t="s">
        <v>335</v>
      </c>
      <c r="C389" s="6" t="s">
        <v>1247</v>
      </c>
      <c r="D389" s="6" t="s">
        <v>1247</v>
      </c>
      <c r="E389" s="6" t="s">
        <v>167</v>
      </c>
      <c r="F389" s="6" t="s">
        <v>168</v>
      </c>
    </row>
    <row r="390" ht="15.0" customHeight="1">
      <c r="A390" s="6" t="s">
        <v>1248</v>
      </c>
      <c r="B390" s="8" t="s">
        <v>340</v>
      </c>
      <c r="C390" s="6" t="s">
        <v>439</v>
      </c>
      <c r="D390" s="6" t="s">
        <v>1249</v>
      </c>
      <c r="E390" s="6" t="s">
        <v>167</v>
      </c>
      <c r="F390" s="6" t="s">
        <v>176</v>
      </c>
    </row>
    <row r="391" ht="15.0" customHeight="1">
      <c r="A391" s="6" t="s">
        <v>1250</v>
      </c>
      <c r="B391" s="8" t="s">
        <v>340</v>
      </c>
      <c r="C391" s="6" t="s">
        <v>696</v>
      </c>
      <c r="D391" s="6" t="s">
        <v>1251</v>
      </c>
      <c r="E391" s="6" t="s">
        <v>167</v>
      </c>
      <c r="F391" s="6" t="s">
        <v>168</v>
      </c>
    </row>
    <row r="392" ht="15.0" customHeight="1">
      <c r="A392" s="6" t="s">
        <v>1252</v>
      </c>
      <c r="B392" s="8" t="s">
        <v>342</v>
      </c>
      <c r="C392" s="6" t="s">
        <v>439</v>
      </c>
      <c r="D392" s="6" t="s">
        <v>1253</v>
      </c>
      <c r="E392" s="6" t="s">
        <v>167</v>
      </c>
      <c r="F392" s="6" t="s">
        <v>176</v>
      </c>
    </row>
    <row r="393" ht="15.0" customHeight="1">
      <c r="A393" s="6" t="s">
        <v>1254</v>
      </c>
      <c r="B393" s="8" t="s">
        <v>344</v>
      </c>
      <c r="C393" s="6" t="s">
        <v>439</v>
      </c>
      <c r="D393" s="6" t="s">
        <v>1255</v>
      </c>
      <c r="E393" s="6" t="s">
        <v>167</v>
      </c>
      <c r="F393" s="6" t="s">
        <v>176</v>
      </c>
    </row>
    <row r="394" ht="15.0" customHeight="1">
      <c r="A394" s="6" t="s">
        <v>1256</v>
      </c>
      <c r="B394" s="8" t="s">
        <v>326</v>
      </c>
      <c r="C394" s="6" t="s">
        <v>188</v>
      </c>
      <c r="D394" s="6" t="s">
        <v>1257</v>
      </c>
      <c r="E394" s="6" t="s">
        <v>167</v>
      </c>
      <c r="F394" s="6" t="s">
        <v>176</v>
      </c>
    </row>
    <row r="395" ht="15.0" customHeight="1">
      <c r="A395" s="6" t="s">
        <v>1258</v>
      </c>
      <c r="B395" s="8" t="s">
        <v>326</v>
      </c>
      <c r="C395" s="6" t="s">
        <v>1259</v>
      </c>
      <c r="D395" s="6" t="s">
        <v>1259</v>
      </c>
      <c r="E395" s="6" t="s">
        <v>167</v>
      </c>
      <c r="F395" s="6" t="s">
        <v>176</v>
      </c>
    </row>
    <row r="396" ht="15.0" customHeight="1">
      <c r="A396" s="6" t="s">
        <v>1260</v>
      </c>
      <c r="B396" s="8" t="s">
        <v>346</v>
      </c>
      <c r="C396" s="6" t="s">
        <v>1261</v>
      </c>
      <c r="D396" s="6" t="s">
        <v>1262</v>
      </c>
      <c r="E396" s="6" t="s">
        <v>167</v>
      </c>
      <c r="F396" s="6" t="s">
        <v>479</v>
      </c>
    </row>
    <row r="397" ht="15.0" customHeight="1">
      <c r="A397" s="6" t="s">
        <v>1263</v>
      </c>
      <c r="B397" s="8" t="s">
        <v>346</v>
      </c>
      <c r="C397" s="6" t="s">
        <v>1264</v>
      </c>
      <c r="D397" s="6" t="s">
        <v>1265</v>
      </c>
      <c r="E397" s="6" t="s">
        <v>167</v>
      </c>
      <c r="F397" s="6" t="s">
        <v>479</v>
      </c>
    </row>
    <row r="398" ht="15.0" customHeight="1">
      <c r="A398" s="6" t="s">
        <v>1266</v>
      </c>
      <c r="B398" s="8" t="s">
        <v>346</v>
      </c>
      <c r="C398" s="6" t="s">
        <v>650</v>
      </c>
      <c r="D398" s="6" t="s">
        <v>1267</v>
      </c>
      <c r="E398" s="6" t="s">
        <v>167</v>
      </c>
      <c r="F398" s="6" t="s">
        <v>479</v>
      </c>
    </row>
    <row r="399" ht="15.0" customHeight="1">
      <c r="A399" s="6" t="s">
        <v>1268</v>
      </c>
      <c r="B399" s="8" t="s">
        <v>346</v>
      </c>
      <c r="C399" s="6" t="s">
        <v>772</v>
      </c>
      <c r="D399" s="6" t="s">
        <v>1269</v>
      </c>
      <c r="E399" s="6" t="s">
        <v>167</v>
      </c>
      <c r="F399" s="6" t="s">
        <v>479</v>
      </c>
    </row>
    <row r="400" ht="15.0" customHeight="1">
      <c r="A400" s="6" t="s">
        <v>1270</v>
      </c>
      <c r="B400" s="8" t="s">
        <v>346</v>
      </c>
      <c r="C400" s="6" t="s">
        <v>1168</v>
      </c>
      <c r="D400" s="6" t="s">
        <v>1271</v>
      </c>
      <c r="E400" s="6" t="s">
        <v>167</v>
      </c>
      <c r="F400" s="6" t="s">
        <v>479</v>
      </c>
    </row>
    <row r="401" ht="15.0" customHeight="1">
      <c r="A401" s="6" t="s">
        <v>1272</v>
      </c>
      <c r="B401" s="8" t="s">
        <v>346</v>
      </c>
      <c r="C401" s="6" t="s">
        <v>653</v>
      </c>
      <c r="D401" s="6" t="s">
        <v>1273</v>
      </c>
      <c r="E401" s="6" t="s">
        <v>167</v>
      </c>
      <c r="F401" s="6" t="s">
        <v>479</v>
      </c>
    </row>
    <row r="402" ht="15.0" customHeight="1">
      <c r="A402" s="6" t="s">
        <v>1274</v>
      </c>
      <c r="B402" s="8" t="s">
        <v>346</v>
      </c>
      <c r="C402" s="6" t="s">
        <v>601</v>
      </c>
      <c r="D402" s="6" t="s">
        <v>1275</v>
      </c>
      <c r="E402" s="6" t="s">
        <v>167</v>
      </c>
      <c r="F402" s="6" t="s">
        <v>479</v>
      </c>
    </row>
    <row r="403" ht="15.0" customHeight="1">
      <c r="A403" s="6" t="s">
        <v>1276</v>
      </c>
      <c r="B403" s="8" t="s">
        <v>346</v>
      </c>
      <c r="C403" s="6" t="s">
        <v>589</v>
      </c>
      <c r="D403" s="6" t="s">
        <v>1277</v>
      </c>
      <c r="E403" s="6" t="s">
        <v>167</v>
      </c>
      <c r="F403" s="6" t="s">
        <v>479</v>
      </c>
    </row>
    <row r="404" ht="15.0" customHeight="1">
      <c r="A404" s="6" t="s">
        <v>1278</v>
      </c>
      <c r="B404" s="8" t="s">
        <v>346</v>
      </c>
      <c r="C404" s="6" t="s">
        <v>658</v>
      </c>
      <c r="D404" s="6" t="s">
        <v>1279</v>
      </c>
      <c r="E404" s="6" t="s">
        <v>167</v>
      </c>
      <c r="F404" s="6" t="s">
        <v>479</v>
      </c>
    </row>
    <row r="405" ht="15.0" customHeight="1">
      <c r="A405" s="6" t="s">
        <v>1280</v>
      </c>
      <c r="B405" s="8" t="s">
        <v>346</v>
      </c>
      <c r="C405" s="6" t="s">
        <v>606</v>
      </c>
      <c r="D405" s="6" t="s">
        <v>1281</v>
      </c>
      <c r="E405" s="6" t="s">
        <v>167</v>
      </c>
      <c r="F405" s="6" t="s">
        <v>479</v>
      </c>
    </row>
    <row r="406" ht="15.0" customHeight="1">
      <c r="A406" s="6" t="s">
        <v>1282</v>
      </c>
      <c r="B406" s="8" t="s">
        <v>346</v>
      </c>
      <c r="C406" s="6" t="s">
        <v>1283</v>
      </c>
      <c r="D406" s="6" t="s">
        <v>1284</v>
      </c>
      <c r="E406" s="6" t="s">
        <v>167</v>
      </c>
      <c r="F406" s="6" t="s">
        <v>479</v>
      </c>
    </row>
    <row r="407" ht="15.0" customHeight="1">
      <c r="A407" s="6" t="s">
        <v>1285</v>
      </c>
      <c r="B407" s="8" t="s">
        <v>346</v>
      </c>
      <c r="C407" s="6" t="s">
        <v>1182</v>
      </c>
      <c r="D407" s="6" t="s">
        <v>1286</v>
      </c>
      <c r="E407" s="6" t="s">
        <v>167</v>
      </c>
      <c r="F407" s="6" t="s">
        <v>479</v>
      </c>
    </row>
    <row r="408" ht="15.0" customHeight="1">
      <c r="A408" s="6" t="s">
        <v>1287</v>
      </c>
      <c r="B408" s="8" t="s">
        <v>346</v>
      </c>
      <c r="C408" s="6" t="s">
        <v>609</v>
      </c>
      <c r="D408" s="6" t="s">
        <v>1288</v>
      </c>
      <c r="E408" s="6" t="s">
        <v>167</v>
      </c>
      <c r="F408" s="6" t="s">
        <v>479</v>
      </c>
    </row>
    <row r="409" ht="15.0" customHeight="1">
      <c r="A409" s="6" t="s">
        <v>1289</v>
      </c>
      <c r="B409" s="8" t="s">
        <v>346</v>
      </c>
      <c r="C409" s="6" t="s">
        <v>612</v>
      </c>
      <c r="D409" s="6" t="s">
        <v>1290</v>
      </c>
      <c r="E409" s="6" t="s">
        <v>167</v>
      </c>
      <c r="F409" s="6" t="s">
        <v>479</v>
      </c>
    </row>
    <row r="410" ht="15.0" customHeight="1">
      <c r="A410" s="6" t="s">
        <v>1291</v>
      </c>
      <c r="B410" s="8" t="s">
        <v>348</v>
      </c>
      <c r="C410" s="6" t="s">
        <v>465</v>
      </c>
      <c r="D410" s="6" t="s">
        <v>1292</v>
      </c>
      <c r="E410" s="6" t="s">
        <v>167</v>
      </c>
      <c r="F410" s="6" t="s">
        <v>176</v>
      </c>
    </row>
    <row r="411" ht="15.0" customHeight="1">
      <c r="A411" s="6" t="s">
        <v>1293</v>
      </c>
      <c r="B411" s="8" t="s">
        <v>348</v>
      </c>
      <c r="C411" s="6" t="s">
        <v>1294</v>
      </c>
      <c r="D411" s="6" t="s">
        <v>1294</v>
      </c>
      <c r="E411" s="6" t="s">
        <v>167</v>
      </c>
      <c r="F411" s="6" t="s">
        <v>176</v>
      </c>
    </row>
    <row r="412" ht="15.0" customHeight="1">
      <c r="A412" s="6" t="s">
        <v>1295</v>
      </c>
      <c r="B412" s="8" t="s">
        <v>349</v>
      </c>
      <c r="C412" s="6" t="s">
        <v>1296</v>
      </c>
      <c r="D412" s="6" t="s">
        <v>1296</v>
      </c>
      <c r="E412" s="6" t="s">
        <v>167</v>
      </c>
      <c r="F412" s="6" t="s">
        <v>479</v>
      </c>
    </row>
    <row r="413" ht="15.0" customHeight="1">
      <c r="A413" s="6" t="s">
        <v>1297</v>
      </c>
      <c r="B413" s="8" t="s">
        <v>349</v>
      </c>
      <c r="C413" s="6" t="s">
        <v>1298</v>
      </c>
      <c r="D413" s="6" t="s">
        <v>1298</v>
      </c>
      <c r="E413" s="6" t="s">
        <v>167</v>
      </c>
      <c r="F413" s="6" t="s">
        <v>176</v>
      </c>
    </row>
    <row r="414" ht="15.0" customHeight="1">
      <c r="A414" s="6" t="s">
        <v>1299</v>
      </c>
      <c r="B414" s="8" t="s">
        <v>349</v>
      </c>
      <c r="C414" s="6" t="s">
        <v>1300</v>
      </c>
      <c r="D414" s="6" t="s">
        <v>1300</v>
      </c>
      <c r="E414" s="6" t="s">
        <v>167</v>
      </c>
      <c r="F414" s="6" t="s">
        <v>168</v>
      </c>
    </row>
    <row r="415" ht="15.0" customHeight="1">
      <c r="A415" s="6" t="s">
        <v>1301</v>
      </c>
      <c r="B415" s="8" t="s">
        <v>353</v>
      </c>
      <c r="C415" s="6" t="s">
        <v>1302</v>
      </c>
      <c r="D415" s="6" t="s">
        <v>1302</v>
      </c>
      <c r="E415" s="6" t="s">
        <v>167</v>
      </c>
      <c r="F415" s="6" t="s">
        <v>176</v>
      </c>
    </row>
    <row r="416" ht="15.0" customHeight="1">
      <c r="A416" s="6" t="s">
        <v>1303</v>
      </c>
      <c r="B416" s="8" t="s">
        <v>353</v>
      </c>
      <c r="C416" s="6" t="s">
        <v>1304</v>
      </c>
      <c r="D416" s="6" t="s">
        <v>1304</v>
      </c>
      <c r="E416" s="6" t="s">
        <v>167</v>
      </c>
      <c r="F416" s="6" t="s">
        <v>176</v>
      </c>
    </row>
    <row r="417" ht="15.0" customHeight="1">
      <c r="A417" s="6" t="s">
        <v>1305</v>
      </c>
      <c r="B417" s="8" t="s">
        <v>357</v>
      </c>
      <c r="C417" s="6" t="s">
        <v>1306</v>
      </c>
      <c r="D417" s="6" t="s">
        <v>1306</v>
      </c>
      <c r="E417" s="6"/>
      <c r="F417" s="6"/>
    </row>
    <row r="418" ht="15.0" customHeight="1">
      <c r="A418" s="6" t="s">
        <v>1307</v>
      </c>
      <c r="B418" s="8" t="s">
        <v>361</v>
      </c>
      <c r="C418" s="6" t="s">
        <v>1308</v>
      </c>
      <c r="D418" s="6" t="s">
        <v>1308</v>
      </c>
      <c r="E418" s="6" t="s">
        <v>184</v>
      </c>
      <c r="F418" s="6" t="s">
        <v>719</v>
      </c>
    </row>
    <row r="419" ht="15.0" customHeight="1">
      <c r="A419" s="6" t="s">
        <v>1309</v>
      </c>
      <c r="B419" s="8" t="s">
        <v>361</v>
      </c>
      <c r="C419" s="6" t="s">
        <v>1310</v>
      </c>
      <c r="D419" s="6" t="s">
        <v>1310</v>
      </c>
      <c r="E419" s="6" t="s">
        <v>167</v>
      </c>
      <c r="F419" s="6" t="s">
        <v>176</v>
      </c>
    </row>
    <row r="420" ht="15.0" customHeight="1">
      <c r="A420" s="6" t="s">
        <v>1311</v>
      </c>
      <c r="B420" s="8" t="s">
        <v>364</v>
      </c>
      <c r="C420" s="6" t="s">
        <v>1312</v>
      </c>
      <c r="D420" s="6" t="s">
        <v>1313</v>
      </c>
      <c r="E420" s="6" t="s">
        <v>167</v>
      </c>
      <c r="F420" s="6" t="s">
        <v>479</v>
      </c>
    </row>
    <row r="421" ht="15.0" customHeight="1">
      <c r="A421" s="6" t="s">
        <v>1314</v>
      </c>
      <c r="B421" s="8" t="s">
        <v>364</v>
      </c>
      <c r="C421" s="6" t="s">
        <v>1315</v>
      </c>
      <c r="D421" s="6" t="s">
        <v>1316</v>
      </c>
      <c r="E421" s="6" t="s">
        <v>167</v>
      </c>
      <c r="F421" s="6" t="s">
        <v>479</v>
      </c>
    </row>
    <row r="422" ht="15.0" customHeight="1">
      <c r="A422" s="6" t="s">
        <v>1317</v>
      </c>
      <c r="B422" s="8" t="s">
        <v>364</v>
      </c>
      <c r="C422" s="6" t="s">
        <v>1318</v>
      </c>
      <c r="D422" s="6" t="s">
        <v>1319</v>
      </c>
      <c r="E422" s="6" t="s">
        <v>167</v>
      </c>
      <c r="F422" s="6" t="s">
        <v>479</v>
      </c>
    </row>
    <row r="423" ht="15.0" customHeight="1">
      <c r="A423" s="6" t="s">
        <v>1320</v>
      </c>
      <c r="B423" s="8" t="s">
        <v>364</v>
      </c>
      <c r="C423" s="6" t="s">
        <v>1321</v>
      </c>
      <c r="D423" s="6" t="s">
        <v>1322</v>
      </c>
      <c r="E423" s="6" t="s">
        <v>167</v>
      </c>
      <c r="F423" s="6" t="s">
        <v>479</v>
      </c>
    </row>
    <row r="424" ht="15.0" customHeight="1">
      <c r="A424" s="6" t="s">
        <v>1323</v>
      </c>
      <c r="B424" s="8" t="s">
        <v>364</v>
      </c>
      <c r="C424" s="6" t="s">
        <v>1324</v>
      </c>
      <c r="D424" s="6" t="s">
        <v>1325</v>
      </c>
      <c r="E424" s="6" t="s">
        <v>167</v>
      </c>
      <c r="F424" s="6" t="s">
        <v>479</v>
      </c>
    </row>
    <row r="425" ht="15.0" customHeight="1">
      <c r="A425" s="6" t="s">
        <v>1326</v>
      </c>
      <c r="B425" s="8" t="s">
        <v>368</v>
      </c>
      <c r="C425" s="6" t="s">
        <v>1327</v>
      </c>
      <c r="D425" s="6" t="s">
        <v>1328</v>
      </c>
      <c r="E425" s="6" t="s">
        <v>167</v>
      </c>
      <c r="F425" s="6" t="s">
        <v>479</v>
      </c>
    </row>
    <row r="426" ht="15.0" customHeight="1">
      <c r="A426" s="6" t="s">
        <v>1329</v>
      </c>
      <c r="B426" s="8" t="s">
        <v>368</v>
      </c>
      <c r="C426" s="6" t="s">
        <v>1330</v>
      </c>
      <c r="D426" s="6" t="s">
        <v>1331</v>
      </c>
      <c r="E426" s="6" t="s">
        <v>167</v>
      </c>
      <c r="F426" s="6" t="s">
        <v>479</v>
      </c>
    </row>
    <row r="427" ht="15.0" customHeight="1">
      <c r="A427" s="6" t="s">
        <v>1332</v>
      </c>
      <c r="B427" s="8" t="s">
        <v>372</v>
      </c>
      <c r="C427" s="6" t="s">
        <v>582</v>
      </c>
      <c r="D427" s="6" t="s">
        <v>1333</v>
      </c>
      <c r="E427" s="6" t="s">
        <v>167</v>
      </c>
      <c r="F427" s="6" t="s">
        <v>479</v>
      </c>
    </row>
    <row r="428" ht="15.0" customHeight="1">
      <c r="A428" s="6" t="s">
        <v>1334</v>
      </c>
      <c r="B428" s="8" t="s">
        <v>377</v>
      </c>
      <c r="C428" s="6" t="s">
        <v>598</v>
      </c>
      <c r="D428" s="6" t="s">
        <v>1335</v>
      </c>
      <c r="E428" s="6" t="s">
        <v>167</v>
      </c>
      <c r="F428" s="6" t="s">
        <v>479</v>
      </c>
    </row>
    <row r="429" ht="15.0" customHeight="1">
      <c r="A429" s="6" t="s">
        <v>1336</v>
      </c>
      <c r="B429" s="8" t="s">
        <v>377</v>
      </c>
      <c r="C429" s="6" t="s">
        <v>1337</v>
      </c>
      <c r="D429" s="6" t="s">
        <v>1338</v>
      </c>
      <c r="E429" s="6" t="s">
        <v>167</v>
      </c>
      <c r="F429" s="6" t="s">
        <v>479</v>
      </c>
    </row>
    <row r="430" ht="15.0" customHeight="1">
      <c r="A430" s="6" t="s">
        <v>1339</v>
      </c>
      <c r="B430" s="8" t="s">
        <v>377</v>
      </c>
      <c r="C430" s="6" t="s">
        <v>1340</v>
      </c>
      <c r="D430" s="6" t="s">
        <v>1341</v>
      </c>
      <c r="E430" s="6" t="s">
        <v>167</v>
      </c>
      <c r="F430" s="6" t="s">
        <v>479</v>
      </c>
    </row>
    <row r="431" ht="15.0" customHeight="1">
      <c r="A431" s="6" t="s">
        <v>1342</v>
      </c>
      <c r="B431" s="8" t="s">
        <v>377</v>
      </c>
      <c r="C431" s="6" t="s">
        <v>1343</v>
      </c>
      <c r="D431" s="6" t="s">
        <v>1344</v>
      </c>
      <c r="E431" s="6" t="s">
        <v>167</v>
      </c>
      <c r="F431" s="6" t="s">
        <v>479</v>
      </c>
    </row>
    <row r="432" ht="15.0" customHeight="1">
      <c r="A432" s="6" t="s">
        <v>1345</v>
      </c>
      <c r="B432" s="8" t="s">
        <v>377</v>
      </c>
      <c r="C432" s="6" t="s">
        <v>1168</v>
      </c>
      <c r="D432" s="6" t="s">
        <v>1346</v>
      </c>
      <c r="E432" s="6" t="s">
        <v>167</v>
      </c>
      <c r="F432" s="6" t="s">
        <v>479</v>
      </c>
    </row>
    <row r="433" ht="15.0" customHeight="1">
      <c r="A433" s="6" t="s">
        <v>1347</v>
      </c>
      <c r="B433" s="8" t="s">
        <v>377</v>
      </c>
      <c r="C433" s="6" t="s">
        <v>1348</v>
      </c>
      <c r="D433" s="6" t="s">
        <v>1349</v>
      </c>
      <c r="E433" s="6" t="s">
        <v>167</v>
      </c>
      <c r="F433" s="6" t="s">
        <v>479</v>
      </c>
    </row>
    <row r="434" ht="15.0" customHeight="1">
      <c r="A434" s="6" t="s">
        <v>1350</v>
      </c>
      <c r="B434" s="8" t="s">
        <v>377</v>
      </c>
      <c r="C434" s="6" t="s">
        <v>601</v>
      </c>
      <c r="D434" s="6" t="s">
        <v>1351</v>
      </c>
      <c r="E434" s="6" t="s">
        <v>167</v>
      </c>
      <c r="F434" s="6" t="s">
        <v>479</v>
      </c>
    </row>
    <row r="435" ht="15.0" customHeight="1">
      <c r="A435" s="6" t="s">
        <v>1352</v>
      </c>
      <c r="B435" s="8" t="s">
        <v>377</v>
      </c>
      <c r="C435" s="6" t="s">
        <v>589</v>
      </c>
      <c r="D435" s="6" t="s">
        <v>1353</v>
      </c>
      <c r="E435" s="6" t="s">
        <v>167</v>
      </c>
      <c r="F435" s="6" t="s">
        <v>479</v>
      </c>
    </row>
    <row r="436" ht="15.0" customHeight="1">
      <c r="A436" s="6" t="s">
        <v>1354</v>
      </c>
      <c r="B436" s="8" t="s">
        <v>377</v>
      </c>
      <c r="C436" s="6" t="s">
        <v>606</v>
      </c>
      <c r="D436" s="6" t="s">
        <v>1355</v>
      </c>
      <c r="E436" s="6" t="s">
        <v>167</v>
      </c>
      <c r="F436" s="6" t="s">
        <v>479</v>
      </c>
    </row>
    <row r="437" ht="15.0" customHeight="1">
      <c r="A437" s="6" t="s">
        <v>1356</v>
      </c>
      <c r="B437" s="8" t="s">
        <v>377</v>
      </c>
      <c r="C437" s="6" t="s">
        <v>609</v>
      </c>
      <c r="D437" s="6" t="s">
        <v>1357</v>
      </c>
      <c r="E437" s="6" t="s">
        <v>167</v>
      </c>
      <c r="F437" s="6" t="s">
        <v>479</v>
      </c>
    </row>
    <row r="438" ht="15.0" customHeight="1">
      <c r="A438" s="6" t="s">
        <v>1358</v>
      </c>
      <c r="B438" s="8" t="s">
        <v>377</v>
      </c>
      <c r="C438" s="6" t="s">
        <v>612</v>
      </c>
      <c r="D438" s="6" t="s">
        <v>1359</v>
      </c>
      <c r="E438" s="6" t="s">
        <v>167</v>
      </c>
      <c r="F438" s="6" t="s">
        <v>479</v>
      </c>
    </row>
    <row r="439" ht="15.0" customHeight="1">
      <c r="A439" s="6" t="s">
        <v>1360</v>
      </c>
      <c r="B439" s="8" t="s">
        <v>377</v>
      </c>
      <c r="C439" s="6" t="s">
        <v>1361</v>
      </c>
      <c r="D439" s="6" t="s">
        <v>1362</v>
      </c>
      <c r="E439" s="6" t="s">
        <v>167</v>
      </c>
      <c r="F439" s="6" t="s">
        <v>479</v>
      </c>
    </row>
    <row r="440" ht="15.0" customHeight="1">
      <c r="A440" s="6" t="s">
        <v>1363</v>
      </c>
      <c r="B440" s="8" t="s">
        <v>377</v>
      </c>
      <c r="C440" s="6" t="s">
        <v>1364</v>
      </c>
      <c r="D440" s="6" t="s">
        <v>1365</v>
      </c>
      <c r="E440" s="6" t="s">
        <v>167</v>
      </c>
      <c r="F440" s="6" t="s">
        <v>479</v>
      </c>
    </row>
    <row r="441" ht="15.0" customHeight="1">
      <c r="A441" s="6" t="s">
        <v>1366</v>
      </c>
      <c r="B441" s="8" t="s">
        <v>377</v>
      </c>
      <c r="C441" s="6" t="s">
        <v>1367</v>
      </c>
      <c r="D441" s="6" t="s">
        <v>1368</v>
      </c>
      <c r="E441" s="6" t="s">
        <v>167</v>
      </c>
      <c r="F441" s="6" t="s">
        <v>479</v>
      </c>
    </row>
    <row r="442" ht="15.0" customHeight="1">
      <c r="A442" s="6" t="s">
        <v>1369</v>
      </c>
      <c r="B442" s="8" t="s">
        <v>377</v>
      </c>
      <c r="C442" s="6" t="s">
        <v>1370</v>
      </c>
      <c r="D442" s="6" t="s">
        <v>1371</v>
      </c>
      <c r="E442" s="6" t="s">
        <v>167</v>
      </c>
      <c r="F442" s="6" t="s">
        <v>479</v>
      </c>
    </row>
    <row r="443" ht="15.0" customHeight="1">
      <c r="A443" s="6" t="s">
        <v>1372</v>
      </c>
      <c r="B443" s="8" t="s">
        <v>377</v>
      </c>
      <c r="C443" s="6" t="s">
        <v>1373</v>
      </c>
      <c r="D443" s="6" t="s">
        <v>1374</v>
      </c>
      <c r="E443" s="6" t="s">
        <v>167</v>
      </c>
      <c r="F443" s="6" t="s">
        <v>479</v>
      </c>
    </row>
    <row r="444" ht="15.0" customHeight="1">
      <c r="A444" s="6" t="s">
        <v>1375</v>
      </c>
      <c r="B444" s="8" t="s">
        <v>377</v>
      </c>
      <c r="C444" s="6" t="s">
        <v>639</v>
      </c>
      <c r="D444" s="6" t="s">
        <v>1376</v>
      </c>
      <c r="E444" s="6" t="s">
        <v>167</v>
      </c>
      <c r="F444" s="6" t="s">
        <v>479</v>
      </c>
    </row>
    <row r="445" ht="15.0" customHeight="1">
      <c r="A445" s="6" t="s">
        <v>1377</v>
      </c>
      <c r="B445" s="8" t="s">
        <v>377</v>
      </c>
      <c r="C445" s="6" t="s">
        <v>686</v>
      </c>
      <c r="D445" s="6" t="s">
        <v>1378</v>
      </c>
      <c r="E445" s="6" t="s">
        <v>167</v>
      </c>
      <c r="F445" s="6" t="s">
        <v>479</v>
      </c>
    </row>
    <row r="446" ht="15.0" customHeight="1">
      <c r="A446" s="6" t="s">
        <v>1379</v>
      </c>
      <c r="B446" s="8" t="s">
        <v>377</v>
      </c>
      <c r="C446" s="6" t="s">
        <v>1380</v>
      </c>
      <c r="D446" s="6" t="s">
        <v>1381</v>
      </c>
      <c r="E446" s="6" t="s">
        <v>167</v>
      </c>
      <c r="F446" s="6" t="s">
        <v>479</v>
      </c>
    </row>
    <row r="447" ht="15.0" customHeight="1">
      <c r="A447" s="6" t="s">
        <v>1382</v>
      </c>
      <c r="B447" s="8" t="s">
        <v>377</v>
      </c>
      <c r="C447" s="6" t="s">
        <v>1383</v>
      </c>
      <c r="D447" s="6" t="s">
        <v>1384</v>
      </c>
      <c r="E447" s="6" t="s">
        <v>167</v>
      </c>
      <c r="F447" s="6" t="s">
        <v>479</v>
      </c>
    </row>
    <row r="448" ht="15.0" customHeight="1">
      <c r="A448" s="6" t="s">
        <v>1385</v>
      </c>
      <c r="B448" s="8" t="s">
        <v>377</v>
      </c>
      <c r="C448" s="6" t="s">
        <v>1386</v>
      </c>
      <c r="D448" s="6" t="s">
        <v>1387</v>
      </c>
      <c r="E448" s="6" t="s">
        <v>167</v>
      </c>
      <c r="F448" s="6" t="s">
        <v>479</v>
      </c>
    </row>
    <row r="449" ht="15.0" customHeight="1">
      <c r="A449" s="6" t="s">
        <v>1388</v>
      </c>
      <c r="B449" s="8" t="s">
        <v>377</v>
      </c>
      <c r="C449" s="6" t="s">
        <v>645</v>
      </c>
      <c r="D449" s="6" t="s">
        <v>1389</v>
      </c>
      <c r="E449" s="6" t="s">
        <v>167</v>
      </c>
      <c r="F449" s="6" t="s">
        <v>479</v>
      </c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  <row r="999" ht="15.75" customHeight="1">
      <c r="A999" s="3"/>
      <c r="B999" s="3"/>
      <c r="C999" s="3"/>
      <c r="D999" s="3"/>
      <c r="E999" s="3"/>
      <c r="F999" s="3"/>
    </row>
    <row r="1000" ht="15.75" customHeight="1">
      <c r="A1000" s="3"/>
      <c r="B1000" s="3"/>
      <c r="C1000" s="3"/>
      <c r="D1000" s="3"/>
      <c r="E1000" s="3"/>
      <c r="F1000" s="3"/>
    </row>
  </sheetData>
  <autoFilter ref="$A$1:$F$449"/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3" width="22.0"/>
    <col customWidth="1" min="14" max="26" width="8.71"/>
  </cols>
  <sheetData>
    <row r="1" ht="23.25" customHeight="1">
      <c r="A1" s="2" t="s">
        <v>0</v>
      </c>
      <c r="B1" s="2" t="s">
        <v>3</v>
      </c>
      <c r="C1" s="2" t="s">
        <v>4</v>
      </c>
      <c r="D1" s="2" t="s">
        <v>10</v>
      </c>
      <c r="E1" s="2" t="s">
        <v>12</v>
      </c>
      <c r="F1" s="2" t="s">
        <v>13</v>
      </c>
      <c r="G1" s="2" t="s">
        <v>14</v>
      </c>
      <c r="H1" s="2" t="s">
        <v>6</v>
      </c>
      <c r="I1" s="2" t="s">
        <v>7</v>
      </c>
      <c r="J1" s="2" t="s">
        <v>142</v>
      </c>
      <c r="K1" s="2" t="s">
        <v>144</v>
      </c>
      <c r="L1" s="2" t="s">
        <v>145</v>
      </c>
      <c r="M1" s="2" t="s">
        <v>148</v>
      </c>
    </row>
    <row r="2" ht="15.0" customHeight="1">
      <c r="A2" s="10" t="str">
        <f>T3_SKU!A2</f>
        <v>BUNG-ORG</v>
      </c>
      <c r="B2" s="10" t="str">
        <f>T3_SKU!B2</f>
        <v>BUNG</v>
      </c>
      <c r="C2" s="10" t="str">
        <f t="array" ref="C2">IFERROR(INDEX(T2_GroupSKU!$B:$B,MATCH(B2,T2_GroupSKU!$A:$A,0)),"")</f>
        <v>Bung</v>
      </c>
      <c r="D2" s="10" t="str">
        <f t="array" ref="D2">IFERROR(INDEX(T1_ProductType!$B:$B,MATCH(INDEX(T2_GroupSKU!$C:$C,MATCH(B2,T2_GroupSKU!$A:$A,0)),T1_ProductType!$A:$A,0)),"")</f>
        <v>Bung</v>
      </c>
      <c r="E2" s="10" t="str">
        <f t="array" ref="E2">IFERROR(INDEX(T1_ProductType!$C:$C,MATCH(INDEX(T2_GroupSKU!$C:$C,MATCH(B2,T2_GroupSKU!$A:$A,0)),T1_ProductType!$A:$A,0)),"")</f>
        <v>Accessory</v>
      </c>
      <c r="F2" s="10" t="str">
        <f t="array" ref="F2">IFERROR(INDEX(T1_ProductType!$D:$D,MATCH(INDEX(T2_GroupSKU!$C:$C,MATCH(B2,T2_GroupSKU!$A:$A,0)),T1_ProductType!$A:$A,0)),"")</f>
        <v>Plastic Barrels</v>
      </c>
      <c r="G2" s="10" t="str">
        <f t="array" ref="G2">IFERROR(IF(INDEX(T1_ProductType!$E:$E,MATCH(INDEX(T2_GroupSKU!$C:$C,MATCH(B2,T2_GroupSKU!$A:$A,0)),T1_ProductType!$A:$A,0))="","-",INDEX(T1_ProductType!$E:$E,MATCH(INDEX(T2_GroupSKU!$C:$C,MATCH(B2,T2_GroupSKU!$A:$A,0)),T1_ProductType!$A:$A,0))),"-")</f>
        <v>-</v>
      </c>
      <c r="H2" s="10" t="str">
        <f t="array" ref="H2">IFERROR(IF(INDEX(T2_GroupSKU!$D:$D,MATCH(B2,T2_GroupSKU!$A:$A,0))="","-",INDEX(T2_GroupSKU!$D:$D,MATCH(B2,T2_GroupSKU!$A:$A,0))),"-")</f>
        <v>-</v>
      </c>
      <c r="I2" s="10" t="str">
        <f t="array" ref="I2">IFERROR(IF(INDEX(T2_GroupSKU!$E:$E,MATCH(B2,T2_GroupSKU!$A:$A,0))="","-",INDEX(T2_GroupSKU!$E:$E,MATCH(B2,T2_GroupSKU!$A:$A,0))),"-")</f>
        <v>-</v>
      </c>
      <c r="J2" s="10" t="str">
        <f>T3_SKU!C2</f>
        <v>Orange</v>
      </c>
      <c r="K2" s="10" t="str">
        <f>T3_SKU!D2</f>
        <v>BUNGS RING ORANGE</v>
      </c>
      <c r="L2" s="10" t="str">
        <f>T3_SKU!E2</f>
        <v>NOS</v>
      </c>
      <c r="M2" s="10" t="str">
        <f>T3_SKU!F2</f>
        <v>               </v>
      </c>
    </row>
    <row r="3" ht="15.0" customHeight="1">
      <c r="A3" s="10" t="str">
        <f>T3_SKU!A3</f>
        <v>BUNG-V359</v>
      </c>
      <c r="B3" s="10" t="str">
        <f>T3_SKU!B3</f>
        <v>BUNG</v>
      </c>
      <c r="C3" s="10" t="str">
        <f t="array" ref="C3">IFERROR(INDEX(T2_GroupSKU!$B:$B,MATCH(B3,T2_GroupSKU!$A:$A,0)),"")</f>
        <v>Bung</v>
      </c>
      <c r="D3" s="10" t="str">
        <f t="array" ref="D3">IFERROR(INDEX(T1_ProductType!$B:$B,MATCH(INDEX(T2_GroupSKU!$C:$C,MATCH(B3,T2_GroupSKU!$A:$A,0)),T1_ProductType!$A:$A,0)),"")</f>
        <v>Bung</v>
      </c>
      <c r="E3" s="10" t="str">
        <f t="array" ref="E3">IFERROR(INDEX(T1_ProductType!$C:$C,MATCH(INDEX(T2_GroupSKU!$C:$C,MATCH(B3,T2_GroupSKU!$A:$A,0)),T1_ProductType!$A:$A,0)),"")</f>
        <v>Accessory</v>
      </c>
      <c r="F3" s="10" t="str">
        <f t="array" ref="F3">IFERROR(INDEX(T1_ProductType!$D:$D,MATCH(INDEX(T2_GroupSKU!$C:$C,MATCH(B3,T2_GroupSKU!$A:$A,0)),T1_ProductType!$A:$A,0)),"")</f>
        <v>Plastic Barrels</v>
      </c>
      <c r="G3" s="10" t="str">
        <f t="array" ref="G3">IFERROR(IF(INDEX(T1_ProductType!$E:$E,MATCH(INDEX(T2_GroupSKU!$C:$C,MATCH(B3,T2_GroupSKU!$A:$A,0)),T1_ProductType!$A:$A,0))="","-",INDEX(T1_ProductType!$E:$E,MATCH(INDEX(T2_GroupSKU!$C:$C,MATCH(B3,T2_GroupSKU!$A:$A,0)),T1_ProductType!$A:$A,0))),"-")</f>
        <v>-</v>
      </c>
      <c r="H3" s="10" t="str">
        <f t="array" ref="H3">IFERROR(IF(INDEX(T2_GroupSKU!$D:$D,MATCH(B3,T2_GroupSKU!$A:$A,0))="","-",INDEX(T2_GroupSKU!$D:$D,MATCH(B3,T2_GroupSKU!$A:$A,0))),"-")</f>
        <v>-</v>
      </c>
      <c r="I3" s="10" t="str">
        <f t="array" ref="I3">IFERROR(IF(INDEX(T2_GroupSKU!$E:$E,MATCH(B3,T2_GroupSKU!$A:$A,0))="","-",INDEX(T2_GroupSKU!$E:$E,MATCH(B3,T2_GroupSKU!$A:$A,0))),"-")</f>
        <v>-</v>
      </c>
      <c r="J3" s="10" t="str">
        <f>T3_SKU!C3</f>
        <v>BUNGS RING</v>
      </c>
      <c r="K3" s="10" t="str">
        <f>T3_SKU!D3</f>
        <v>BUNGS RING</v>
      </c>
      <c r="L3" s="10" t="str">
        <f>T3_SKU!E3</f>
        <v>NOS</v>
      </c>
      <c r="M3" s="10" t="str">
        <f>T3_SKU!F3</f>
        <v>39235010</v>
      </c>
    </row>
    <row r="4" ht="15.0" customHeight="1">
      <c r="A4" s="10" t="str">
        <f>T3_SKU!A4</f>
        <v>BUNG-V408</v>
      </c>
      <c r="B4" s="10" t="str">
        <f>T3_SKU!B4</f>
        <v>BUNG</v>
      </c>
      <c r="C4" s="10" t="str">
        <f t="array" ref="C4">IFERROR(INDEX(T2_GroupSKU!$B:$B,MATCH(B4,T2_GroupSKU!$A:$A,0)),"")</f>
        <v>Bung</v>
      </c>
      <c r="D4" s="10" t="str">
        <f t="array" ref="D4">IFERROR(INDEX(T1_ProductType!$B:$B,MATCH(INDEX(T2_GroupSKU!$C:$C,MATCH(B4,T2_GroupSKU!$A:$A,0)),T1_ProductType!$A:$A,0)),"")</f>
        <v>Bung</v>
      </c>
      <c r="E4" s="10" t="str">
        <f t="array" ref="E4">IFERROR(INDEX(T1_ProductType!$C:$C,MATCH(INDEX(T2_GroupSKU!$C:$C,MATCH(B4,T2_GroupSKU!$A:$A,0)),T1_ProductType!$A:$A,0)),"")</f>
        <v>Accessory</v>
      </c>
      <c r="F4" s="10" t="str">
        <f t="array" ref="F4">IFERROR(INDEX(T1_ProductType!$D:$D,MATCH(INDEX(T2_GroupSKU!$C:$C,MATCH(B4,T2_GroupSKU!$A:$A,0)),T1_ProductType!$A:$A,0)),"")</f>
        <v>Plastic Barrels</v>
      </c>
      <c r="G4" s="10" t="str">
        <f t="array" ref="G4">IFERROR(IF(INDEX(T1_ProductType!$E:$E,MATCH(INDEX(T2_GroupSKU!$C:$C,MATCH(B4,T2_GroupSKU!$A:$A,0)),T1_ProductType!$A:$A,0))="","-",INDEX(T1_ProductType!$E:$E,MATCH(INDEX(T2_GroupSKU!$C:$C,MATCH(B4,T2_GroupSKU!$A:$A,0)),T1_ProductType!$A:$A,0))),"-")</f>
        <v>-</v>
      </c>
      <c r="H4" s="10" t="str">
        <f t="array" ref="H4">IFERROR(IF(INDEX(T2_GroupSKU!$D:$D,MATCH(B4,T2_GroupSKU!$A:$A,0))="","-",INDEX(T2_GroupSKU!$D:$D,MATCH(B4,T2_GroupSKU!$A:$A,0))),"-")</f>
        <v>-</v>
      </c>
      <c r="I4" s="10" t="str">
        <f t="array" ref="I4">IFERROR(IF(INDEX(T2_GroupSKU!$E:$E,MATCH(B4,T2_GroupSKU!$A:$A,0))="","-",INDEX(T2_GroupSKU!$E:$E,MATCH(B4,T2_GroupSKU!$A:$A,0))),"-")</f>
        <v>-</v>
      </c>
      <c r="J4" s="10" t="str">
        <f>T3_SKU!C4</f>
        <v>BUNGS</v>
      </c>
      <c r="K4" s="10" t="str">
        <f>T3_SKU!D4</f>
        <v>BUNGS</v>
      </c>
      <c r="L4" s="10" t="str">
        <f>T3_SKU!E4</f>
        <v>nos</v>
      </c>
      <c r="M4" s="10" t="str">
        <f>T3_SKU!F4</f>
        <v>39235010</v>
      </c>
    </row>
    <row r="5" ht="15.0" customHeight="1">
      <c r="A5" s="10" t="str">
        <f>T3_SKU!A5</f>
        <v>BUNG-V409</v>
      </c>
      <c r="B5" s="10" t="str">
        <f>T3_SKU!B5</f>
        <v>BUNG</v>
      </c>
      <c r="C5" s="10" t="str">
        <f t="array" ref="C5">IFERROR(INDEX(T2_GroupSKU!$B:$B,MATCH(B5,T2_GroupSKU!$A:$A,0)),"")</f>
        <v>Bung</v>
      </c>
      <c r="D5" s="10" t="str">
        <f t="array" ref="D5">IFERROR(INDEX(T1_ProductType!$B:$B,MATCH(INDEX(T2_GroupSKU!$C:$C,MATCH(B5,T2_GroupSKU!$A:$A,0)),T1_ProductType!$A:$A,0)),"")</f>
        <v>Bung</v>
      </c>
      <c r="E5" s="10" t="str">
        <f t="array" ref="E5">IFERROR(INDEX(T1_ProductType!$C:$C,MATCH(INDEX(T2_GroupSKU!$C:$C,MATCH(B5,T2_GroupSKU!$A:$A,0)),T1_ProductType!$A:$A,0)),"")</f>
        <v>Accessory</v>
      </c>
      <c r="F5" s="10" t="str">
        <f t="array" ref="F5">IFERROR(INDEX(T1_ProductType!$D:$D,MATCH(INDEX(T2_GroupSKU!$C:$C,MATCH(B5,T2_GroupSKU!$A:$A,0)),T1_ProductType!$A:$A,0)),"")</f>
        <v>Plastic Barrels</v>
      </c>
      <c r="G5" s="10" t="str">
        <f t="array" ref="G5">IFERROR(IF(INDEX(T1_ProductType!$E:$E,MATCH(INDEX(T2_GroupSKU!$C:$C,MATCH(B5,T2_GroupSKU!$A:$A,0)),T1_ProductType!$A:$A,0))="","-",INDEX(T1_ProductType!$E:$E,MATCH(INDEX(T2_GroupSKU!$C:$C,MATCH(B5,T2_GroupSKU!$A:$A,0)),T1_ProductType!$A:$A,0))),"-")</f>
        <v>-</v>
      </c>
      <c r="H5" s="10" t="str">
        <f t="array" ref="H5">IFERROR(IF(INDEX(T2_GroupSKU!$D:$D,MATCH(B5,T2_GroupSKU!$A:$A,0))="","-",INDEX(T2_GroupSKU!$D:$D,MATCH(B5,T2_GroupSKU!$A:$A,0))),"-")</f>
        <v>-</v>
      </c>
      <c r="I5" s="10" t="str">
        <f t="array" ref="I5">IFERROR(IF(INDEX(T2_GroupSKU!$E:$E,MATCH(B5,T2_GroupSKU!$A:$A,0))="","-",INDEX(T2_GroupSKU!$E:$E,MATCH(B5,T2_GroupSKU!$A:$A,0))),"-")</f>
        <v>-</v>
      </c>
      <c r="J5" s="10" t="str">
        <f>T3_SKU!C5</f>
        <v>70mm / Ibc</v>
      </c>
      <c r="K5" s="10" t="str">
        <f>T3_SKU!D5</f>
        <v>BUNGS 70 MM ( IBC )</v>
      </c>
      <c r="L5" s="10" t="str">
        <f>T3_SKU!E5</f>
        <v>NOS</v>
      </c>
      <c r="M5" s="10" t="str">
        <f>T3_SKU!F5</f>
        <v>39235010</v>
      </c>
    </row>
    <row r="6" ht="15.0" customHeight="1">
      <c r="A6" s="10" t="str">
        <f>T3_SKU!A6</f>
        <v>BUNG-V41</v>
      </c>
      <c r="B6" s="10" t="str">
        <f>T3_SKU!B6</f>
        <v>BUNG</v>
      </c>
      <c r="C6" s="10" t="str">
        <f t="array" ref="C6">IFERROR(INDEX(T2_GroupSKU!$B:$B,MATCH(B6,T2_GroupSKU!$A:$A,0)),"")</f>
        <v>Bung</v>
      </c>
      <c r="D6" s="10" t="str">
        <f t="array" ref="D6">IFERROR(INDEX(T1_ProductType!$B:$B,MATCH(INDEX(T2_GroupSKU!$C:$C,MATCH(B6,T2_GroupSKU!$A:$A,0)),T1_ProductType!$A:$A,0)),"")</f>
        <v>Bung</v>
      </c>
      <c r="E6" s="10" t="str">
        <f t="array" ref="E6">IFERROR(INDEX(T1_ProductType!$C:$C,MATCH(INDEX(T2_GroupSKU!$C:$C,MATCH(B6,T2_GroupSKU!$A:$A,0)),T1_ProductType!$A:$A,0)),"")</f>
        <v>Accessory</v>
      </c>
      <c r="F6" s="10" t="str">
        <f t="array" ref="F6">IFERROR(INDEX(T1_ProductType!$D:$D,MATCH(INDEX(T2_GroupSKU!$C:$C,MATCH(B6,T2_GroupSKU!$A:$A,0)),T1_ProductType!$A:$A,0)),"")</f>
        <v>Plastic Barrels</v>
      </c>
      <c r="G6" s="10" t="str">
        <f t="array" ref="G6">IFERROR(IF(INDEX(T1_ProductType!$E:$E,MATCH(INDEX(T2_GroupSKU!$C:$C,MATCH(B6,T2_GroupSKU!$A:$A,0)),T1_ProductType!$A:$A,0))="","-",INDEX(T1_ProductType!$E:$E,MATCH(INDEX(T2_GroupSKU!$C:$C,MATCH(B6,T2_GroupSKU!$A:$A,0)),T1_ProductType!$A:$A,0))),"-")</f>
        <v>-</v>
      </c>
      <c r="H6" s="10" t="str">
        <f t="array" ref="H6">IFERROR(IF(INDEX(T2_GroupSKU!$D:$D,MATCH(B6,T2_GroupSKU!$A:$A,0))="","-",INDEX(T2_GroupSKU!$D:$D,MATCH(B6,T2_GroupSKU!$A:$A,0))),"-")</f>
        <v>-</v>
      </c>
      <c r="I6" s="10" t="str">
        <f t="array" ref="I6">IFERROR(IF(INDEX(T2_GroupSKU!$E:$E,MATCH(B6,T2_GroupSKU!$A:$A,0))="","-",INDEX(T2_GroupSKU!$E:$E,MATCH(B6,T2_GroupSKU!$A:$A,0))),"-")</f>
        <v>-</v>
      </c>
      <c r="J6" s="10" t="str">
        <f>T3_SKU!C6</f>
        <v>BUNGS DG</v>
      </c>
      <c r="K6" s="10" t="str">
        <f>T3_SKU!D6</f>
        <v>BUNGS DG</v>
      </c>
      <c r="L6" s="10" t="str">
        <f>T3_SKU!E6</f>
        <v>NOS</v>
      </c>
      <c r="M6" s="10" t="str">
        <f>T3_SKU!F6</f>
        <v>39235010</v>
      </c>
    </row>
    <row r="7" ht="15.0" customHeight="1">
      <c r="A7" s="10" t="str">
        <f>T3_SKU!A7</f>
        <v>BUNG-V442</v>
      </c>
      <c r="B7" s="10" t="str">
        <f>T3_SKU!B7</f>
        <v>BUNG</v>
      </c>
      <c r="C7" s="10" t="str">
        <f t="array" ref="C7">IFERROR(INDEX(T2_GroupSKU!$B:$B,MATCH(B7,T2_GroupSKU!$A:$A,0)),"")</f>
        <v>Bung</v>
      </c>
      <c r="D7" s="10" t="str">
        <f t="array" ref="D7">IFERROR(INDEX(T1_ProductType!$B:$B,MATCH(INDEX(T2_GroupSKU!$C:$C,MATCH(B7,T2_GroupSKU!$A:$A,0)),T1_ProductType!$A:$A,0)),"")</f>
        <v>Bung</v>
      </c>
      <c r="E7" s="10" t="str">
        <f t="array" ref="E7">IFERROR(INDEX(T1_ProductType!$C:$C,MATCH(INDEX(T2_GroupSKU!$C:$C,MATCH(B7,T2_GroupSKU!$A:$A,0)),T1_ProductType!$A:$A,0)),"")</f>
        <v>Accessory</v>
      </c>
      <c r="F7" s="10" t="str">
        <f t="array" ref="F7">IFERROR(INDEX(T1_ProductType!$D:$D,MATCH(INDEX(T2_GroupSKU!$C:$C,MATCH(B7,T2_GroupSKU!$A:$A,0)),T1_ProductType!$A:$A,0)),"")</f>
        <v>Plastic Barrels</v>
      </c>
      <c r="G7" s="10" t="str">
        <f t="array" ref="G7">IFERROR(IF(INDEX(T1_ProductType!$E:$E,MATCH(INDEX(T2_GroupSKU!$C:$C,MATCH(B7,T2_GroupSKU!$A:$A,0)),T1_ProductType!$A:$A,0))="","-",INDEX(T1_ProductType!$E:$E,MATCH(INDEX(T2_GroupSKU!$C:$C,MATCH(B7,T2_GroupSKU!$A:$A,0)),T1_ProductType!$A:$A,0))),"-")</f>
        <v>-</v>
      </c>
      <c r="H7" s="10" t="str">
        <f t="array" ref="H7">IFERROR(IF(INDEX(T2_GroupSKU!$D:$D,MATCH(B7,T2_GroupSKU!$A:$A,0))="","-",INDEX(T2_GroupSKU!$D:$D,MATCH(B7,T2_GroupSKU!$A:$A,0))),"-")</f>
        <v>-</v>
      </c>
      <c r="I7" s="10" t="str">
        <f t="array" ref="I7">IFERROR(IF(INDEX(T2_GroupSKU!$E:$E,MATCH(B7,T2_GroupSKU!$A:$A,0))="","-",INDEX(T2_GroupSKU!$E:$E,MATCH(B7,T2_GroupSKU!$A:$A,0))),"-")</f>
        <v>-</v>
      </c>
      <c r="J7" s="10" t="str">
        <f>T3_SKU!C7</f>
        <v>50mm / Ibc</v>
      </c>
      <c r="K7" s="10" t="str">
        <f>T3_SKU!D7</f>
        <v>BUNGS 50 MM ( IBC )</v>
      </c>
      <c r="L7" s="10" t="str">
        <f>T3_SKU!E7</f>
        <v>NOS</v>
      </c>
      <c r="M7" s="10" t="str">
        <f>T3_SKU!F7</f>
        <v>39235010</v>
      </c>
    </row>
    <row r="8" ht="15.0" customHeight="1">
      <c r="A8" s="10" t="str">
        <f>T3_SKU!A8</f>
        <v>BUNG-V444</v>
      </c>
      <c r="B8" s="10" t="str">
        <f>T3_SKU!B8</f>
        <v>BUNG</v>
      </c>
      <c r="C8" s="10" t="str">
        <f t="array" ref="C8">IFERROR(INDEX(T2_GroupSKU!$B:$B,MATCH(B8,T2_GroupSKU!$A:$A,0)),"")</f>
        <v>Bung</v>
      </c>
      <c r="D8" s="10" t="str">
        <f t="array" ref="D8">IFERROR(INDEX(T1_ProductType!$B:$B,MATCH(INDEX(T2_GroupSKU!$C:$C,MATCH(B8,T2_GroupSKU!$A:$A,0)),T1_ProductType!$A:$A,0)),"")</f>
        <v>Bung</v>
      </c>
      <c r="E8" s="10" t="str">
        <f t="array" ref="E8">IFERROR(INDEX(T1_ProductType!$C:$C,MATCH(INDEX(T2_GroupSKU!$C:$C,MATCH(B8,T2_GroupSKU!$A:$A,0)),T1_ProductType!$A:$A,0)),"")</f>
        <v>Accessory</v>
      </c>
      <c r="F8" s="10" t="str">
        <f t="array" ref="F8">IFERROR(INDEX(T1_ProductType!$D:$D,MATCH(INDEX(T2_GroupSKU!$C:$C,MATCH(B8,T2_GroupSKU!$A:$A,0)),T1_ProductType!$A:$A,0)),"")</f>
        <v>Plastic Barrels</v>
      </c>
      <c r="G8" s="10" t="str">
        <f t="array" ref="G8">IFERROR(IF(INDEX(T1_ProductType!$E:$E,MATCH(INDEX(T2_GroupSKU!$C:$C,MATCH(B8,T2_GroupSKU!$A:$A,0)),T1_ProductType!$A:$A,0))="","-",INDEX(T1_ProductType!$E:$E,MATCH(INDEX(T2_GroupSKU!$C:$C,MATCH(B8,T2_GroupSKU!$A:$A,0)),T1_ProductType!$A:$A,0))),"-")</f>
        <v>-</v>
      </c>
      <c r="H8" s="10" t="str">
        <f t="array" ref="H8">IFERROR(IF(INDEX(T2_GroupSKU!$D:$D,MATCH(B8,T2_GroupSKU!$A:$A,0))="","-",INDEX(T2_GroupSKU!$D:$D,MATCH(B8,T2_GroupSKU!$A:$A,0))),"-")</f>
        <v>-</v>
      </c>
      <c r="I8" s="10" t="str">
        <f t="array" ref="I8">IFERROR(IF(INDEX(T2_GroupSKU!$E:$E,MATCH(B8,T2_GroupSKU!$A:$A,0))="","-",INDEX(T2_GroupSKU!$E:$E,MATCH(B8,T2_GroupSKU!$A:$A,0))),"-")</f>
        <v>-</v>
      </c>
      <c r="J8" s="10" t="str">
        <f>T3_SKU!C8</f>
        <v>50mm / Galaxy</v>
      </c>
      <c r="K8" s="10" t="str">
        <f>T3_SKU!D8</f>
        <v>BUNGS 50 MM (GALAXY)</v>
      </c>
      <c r="L8" s="10" t="str">
        <f>T3_SKU!E8</f>
        <v/>
      </c>
      <c r="M8" s="10" t="str">
        <f>T3_SKU!F8</f>
        <v/>
      </c>
    </row>
    <row r="9" ht="15.0" customHeight="1">
      <c r="A9" s="10" t="str">
        <f>T3_SKU!A9</f>
        <v>BUNG-V445</v>
      </c>
      <c r="B9" s="10" t="str">
        <f>T3_SKU!B9</f>
        <v>BUNG</v>
      </c>
      <c r="C9" s="10" t="str">
        <f t="array" ref="C9">IFERROR(INDEX(T2_GroupSKU!$B:$B,MATCH(B9,T2_GroupSKU!$A:$A,0)),"")</f>
        <v>Bung</v>
      </c>
      <c r="D9" s="10" t="str">
        <f t="array" ref="D9">IFERROR(INDEX(T1_ProductType!$B:$B,MATCH(INDEX(T2_GroupSKU!$C:$C,MATCH(B9,T2_GroupSKU!$A:$A,0)),T1_ProductType!$A:$A,0)),"")</f>
        <v>Bung</v>
      </c>
      <c r="E9" s="10" t="str">
        <f t="array" ref="E9">IFERROR(INDEX(T1_ProductType!$C:$C,MATCH(INDEX(T2_GroupSKU!$C:$C,MATCH(B9,T2_GroupSKU!$A:$A,0)),T1_ProductType!$A:$A,0)),"")</f>
        <v>Accessory</v>
      </c>
      <c r="F9" s="10" t="str">
        <f t="array" ref="F9">IFERROR(INDEX(T1_ProductType!$D:$D,MATCH(INDEX(T2_GroupSKU!$C:$C,MATCH(B9,T2_GroupSKU!$A:$A,0)),T1_ProductType!$A:$A,0)),"")</f>
        <v>Plastic Barrels</v>
      </c>
      <c r="G9" s="10" t="str">
        <f t="array" ref="G9">IFERROR(IF(INDEX(T1_ProductType!$E:$E,MATCH(INDEX(T2_GroupSKU!$C:$C,MATCH(B9,T2_GroupSKU!$A:$A,0)),T1_ProductType!$A:$A,0))="","-",INDEX(T1_ProductType!$E:$E,MATCH(INDEX(T2_GroupSKU!$C:$C,MATCH(B9,T2_GroupSKU!$A:$A,0)),T1_ProductType!$A:$A,0))),"-")</f>
        <v>-</v>
      </c>
      <c r="H9" s="10" t="str">
        <f t="array" ref="H9">IFERROR(IF(INDEX(T2_GroupSKU!$D:$D,MATCH(B9,T2_GroupSKU!$A:$A,0))="","-",INDEX(T2_GroupSKU!$D:$D,MATCH(B9,T2_GroupSKU!$A:$A,0))),"-")</f>
        <v>-</v>
      </c>
      <c r="I9" s="10" t="str">
        <f t="array" ref="I9">IFERROR(IF(INDEX(T2_GroupSKU!$E:$E,MATCH(B9,T2_GroupSKU!$A:$A,0))="","-",INDEX(T2_GroupSKU!$E:$E,MATCH(B9,T2_GroupSKU!$A:$A,0))),"-")</f>
        <v>-</v>
      </c>
      <c r="J9" s="10" t="str">
        <f>T3_SKU!C9</f>
        <v>BUNGS SOFT RING</v>
      </c>
      <c r="K9" s="10" t="str">
        <f>T3_SKU!D9</f>
        <v>BUNGS SOFT RING</v>
      </c>
      <c r="L9" s="10" t="str">
        <f>T3_SKU!E9</f>
        <v/>
      </c>
      <c r="M9" s="10" t="str">
        <f>T3_SKU!F9</f>
        <v/>
      </c>
    </row>
    <row r="10" ht="15.0" customHeight="1">
      <c r="A10" s="10" t="str">
        <f>T3_SKU!A10</f>
        <v>BUNG-V447</v>
      </c>
      <c r="B10" s="10" t="str">
        <f>T3_SKU!B10</f>
        <v>BUNG</v>
      </c>
      <c r="C10" s="10" t="str">
        <f t="array" ref="C10">IFERROR(INDEX(T2_GroupSKU!$B:$B,MATCH(B10,T2_GroupSKU!$A:$A,0)),"")</f>
        <v>Bung</v>
      </c>
      <c r="D10" s="10" t="str">
        <f t="array" ref="D10">IFERROR(INDEX(T1_ProductType!$B:$B,MATCH(INDEX(T2_GroupSKU!$C:$C,MATCH(B10,T2_GroupSKU!$A:$A,0)),T1_ProductType!$A:$A,0)),"")</f>
        <v>Bung</v>
      </c>
      <c r="E10" s="10" t="str">
        <f t="array" ref="E10">IFERROR(INDEX(T1_ProductType!$C:$C,MATCH(INDEX(T2_GroupSKU!$C:$C,MATCH(B10,T2_GroupSKU!$A:$A,0)),T1_ProductType!$A:$A,0)),"")</f>
        <v>Accessory</v>
      </c>
      <c r="F10" s="10" t="str">
        <f t="array" ref="F10">IFERROR(INDEX(T1_ProductType!$D:$D,MATCH(INDEX(T2_GroupSKU!$C:$C,MATCH(B10,T2_GroupSKU!$A:$A,0)),T1_ProductType!$A:$A,0)),"")</f>
        <v>Plastic Barrels</v>
      </c>
      <c r="G10" s="10" t="str">
        <f t="array" ref="G10">IFERROR(IF(INDEX(T1_ProductType!$E:$E,MATCH(INDEX(T2_GroupSKU!$C:$C,MATCH(B10,T2_GroupSKU!$A:$A,0)),T1_ProductType!$A:$A,0))="","-",INDEX(T1_ProductType!$E:$E,MATCH(INDEX(T2_GroupSKU!$C:$C,MATCH(B10,T2_GroupSKU!$A:$A,0)),T1_ProductType!$A:$A,0))),"-")</f>
        <v>-</v>
      </c>
      <c r="H10" s="10" t="str">
        <f t="array" ref="H10">IFERROR(IF(INDEX(T2_GroupSKU!$D:$D,MATCH(B10,T2_GroupSKU!$A:$A,0))="","-",INDEX(T2_GroupSKU!$D:$D,MATCH(B10,T2_GroupSKU!$A:$A,0))),"-")</f>
        <v>-</v>
      </c>
      <c r="I10" s="10" t="str">
        <f t="array" ref="I10">IFERROR(IF(INDEX(T2_GroupSKU!$E:$E,MATCH(B10,T2_GroupSKU!$A:$A,0))="","-",INDEX(T2_GroupSKU!$E:$E,MATCH(B10,T2_GroupSKU!$A:$A,0))),"-")</f>
        <v>-</v>
      </c>
      <c r="J10" s="10" t="str">
        <f>T3_SKU!C10</f>
        <v>65mm</v>
      </c>
      <c r="K10" s="10" t="str">
        <f>T3_SKU!D10</f>
        <v>TOP SEAL BUNGS 65 MM</v>
      </c>
      <c r="L10" s="10" t="str">
        <f>T3_SKU!E10</f>
        <v/>
      </c>
      <c r="M10" s="10" t="str">
        <f>T3_SKU!F10</f>
        <v/>
      </c>
    </row>
    <row r="11" ht="15.0" customHeight="1">
      <c r="A11" s="10" t="str">
        <f>T3_SKU!A11</f>
        <v>CAPSL-PR-BLK</v>
      </c>
      <c r="B11" s="10" t="str">
        <f>T3_SKU!B11</f>
        <v>CAPSL-PR</v>
      </c>
      <c r="C11" s="10" t="str">
        <f t="array" ref="C11">IFERROR(INDEX(T2_GroupSKU!$B:$B,MATCH(B11,T2_GroupSKU!$A:$A,0)),"")</f>
        <v>Printed Cap Seal (Branded)</v>
      </c>
      <c r="D11" s="10" t="str">
        <f t="array" ref="D11">IFERROR(INDEX(T1_ProductType!$B:$B,MATCH(INDEX(T2_GroupSKU!$C:$C,MATCH(B11,T2_GroupSKU!$A:$A,0)),T1_ProductType!$A:$A,0)),"")</f>
        <v>Printed Cap Seal (Branded)</v>
      </c>
      <c r="E11" s="10" t="str">
        <f t="array" ref="E11">IFERROR(INDEX(T1_ProductType!$C:$C,MATCH(INDEX(T2_GroupSKU!$C:$C,MATCH(B11,T2_GroupSKU!$A:$A,0)),T1_ProductType!$A:$A,0)),"")</f>
        <v>Accessory</v>
      </c>
      <c r="F11" s="10" t="str">
        <f t="array" ref="F11">IFERROR(INDEX(T1_ProductType!$D:$D,MATCH(INDEX(T2_GroupSKU!$C:$C,MATCH(B11,T2_GroupSKU!$A:$A,0)),T1_ProductType!$A:$A,0)),"")</f>
        <v>Plastic Barrels</v>
      </c>
      <c r="G11" s="10" t="str">
        <f t="array" ref="G11">IFERROR(IF(INDEX(T1_ProductType!$E:$E,MATCH(INDEX(T2_GroupSKU!$C:$C,MATCH(B11,T2_GroupSKU!$A:$A,0)),T1_ProductType!$A:$A,0))="","-",INDEX(T1_ProductType!$E:$E,MATCH(INDEX(T2_GroupSKU!$C:$C,MATCH(B11,T2_GroupSKU!$A:$A,0)),T1_ProductType!$A:$A,0))),"-")</f>
        <v>-</v>
      </c>
      <c r="H11" s="10" t="str">
        <f t="array" ref="H11">IFERROR(IF(INDEX(T2_GroupSKU!$D:$D,MATCH(B11,T2_GroupSKU!$A:$A,0))="","-",INDEX(T2_GroupSKU!$D:$D,MATCH(B11,T2_GroupSKU!$A:$A,0))),"-")</f>
        <v>-</v>
      </c>
      <c r="I11" s="10" t="str">
        <f t="array" ref="I11">IFERROR(IF(INDEX(T2_GroupSKU!$E:$E,MATCH(B11,T2_GroupSKU!$A:$A,0))="","-",INDEX(T2_GroupSKU!$E:$E,MATCH(B11,T2_GroupSKU!$A:$A,0))),"-")</f>
        <v>-</v>
      </c>
      <c r="J11" s="10" t="str">
        <f>T3_SKU!C11</f>
        <v>50mm / Black / Black Rose</v>
      </c>
      <c r="K11" s="10" t="str">
        <f>T3_SKU!D11</f>
        <v>MS CAP SEAL PRINTED 50 MM (BLACK ROSE)</v>
      </c>
      <c r="L11" s="10" t="str">
        <f>T3_SKU!E11</f>
        <v>NOS</v>
      </c>
      <c r="M11" s="10" t="str">
        <f>T3_SKU!F11</f>
        <v>83099030</v>
      </c>
    </row>
    <row r="12" ht="15.0" customHeight="1">
      <c r="A12" s="10" t="str">
        <f>T3_SKU!A12</f>
        <v>CAPSL-PR-V22</v>
      </c>
      <c r="B12" s="10" t="str">
        <f>T3_SKU!B12</f>
        <v>CAPSL-PR</v>
      </c>
      <c r="C12" s="10" t="str">
        <f t="array" ref="C12">IFERROR(INDEX(T2_GroupSKU!$B:$B,MATCH(B12,T2_GroupSKU!$A:$A,0)),"")</f>
        <v>Printed Cap Seal (Branded)</v>
      </c>
      <c r="D12" s="10" t="str">
        <f t="array" ref="D12">IFERROR(INDEX(T1_ProductType!$B:$B,MATCH(INDEX(T2_GroupSKU!$C:$C,MATCH(B12,T2_GroupSKU!$A:$A,0)),T1_ProductType!$A:$A,0)),"")</f>
        <v>Printed Cap Seal (Branded)</v>
      </c>
      <c r="E12" s="10" t="str">
        <f t="array" ref="E12">IFERROR(INDEX(T1_ProductType!$C:$C,MATCH(INDEX(T2_GroupSKU!$C:$C,MATCH(B12,T2_GroupSKU!$A:$A,0)),T1_ProductType!$A:$A,0)),"")</f>
        <v>Accessory</v>
      </c>
      <c r="F12" s="10" t="str">
        <f t="array" ref="F12">IFERROR(INDEX(T1_ProductType!$D:$D,MATCH(INDEX(T2_GroupSKU!$C:$C,MATCH(B12,T2_GroupSKU!$A:$A,0)),T1_ProductType!$A:$A,0)),"")</f>
        <v>Plastic Barrels</v>
      </c>
      <c r="G12" s="10" t="str">
        <f t="array" ref="G12">IFERROR(IF(INDEX(T1_ProductType!$E:$E,MATCH(INDEX(T2_GroupSKU!$C:$C,MATCH(B12,T2_GroupSKU!$A:$A,0)),T1_ProductType!$A:$A,0))="","-",INDEX(T1_ProductType!$E:$E,MATCH(INDEX(T2_GroupSKU!$C:$C,MATCH(B12,T2_GroupSKU!$A:$A,0)),T1_ProductType!$A:$A,0))),"-")</f>
        <v>-</v>
      </c>
      <c r="H12" s="10" t="str">
        <f t="array" ref="H12">IFERROR(IF(INDEX(T2_GroupSKU!$D:$D,MATCH(B12,T2_GroupSKU!$A:$A,0))="","-",INDEX(T2_GroupSKU!$D:$D,MATCH(B12,T2_GroupSKU!$A:$A,0))),"-")</f>
        <v>-</v>
      </c>
      <c r="I12" s="10" t="str">
        <f t="array" ref="I12">IFERROR(IF(INDEX(T2_GroupSKU!$E:$E,MATCH(B12,T2_GroupSKU!$A:$A,0))="","-",INDEX(T2_GroupSKU!$E:$E,MATCH(B12,T2_GroupSKU!$A:$A,0))),"-")</f>
        <v>-</v>
      </c>
      <c r="J12" s="10" t="str">
        <f>T3_SKU!C12</f>
        <v>50mm / Aditya Birla  Logo</v>
      </c>
      <c r="K12" s="10" t="str">
        <f>T3_SKU!D12</f>
        <v>MS CAP SEAL  PRINTED 50 MM (ADITYA BIRLA  LOGO)</v>
      </c>
      <c r="L12" s="10" t="str">
        <f>T3_SKU!E12</f>
        <v>NOS</v>
      </c>
      <c r="M12" s="10" t="str">
        <f>T3_SKU!F12</f>
        <v>83099090</v>
      </c>
    </row>
    <row r="13" ht="15.0" customHeight="1">
      <c r="A13" s="10" t="str">
        <f>T3_SKU!A13</f>
        <v>CAPSL-PR-V23</v>
      </c>
      <c r="B13" s="10" t="str">
        <f>T3_SKU!B13</f>
        <v>CAPSL-PR</v>
      </c>
      <c r="C13" s="10" t="str">
        <f t="array" ref="C13">IFERROR(INDEX(T2_GroupSKU!$B:$B,MATCH(B13,T2_GroupSKU!$A:$A,0)),"")</f>
        <v>Printed Cap Seal (Branded)</v>
      </c>
      <c r="D13" s="10" t="str">
        <f t="array" ref="D13">IFERROR(INDEX(T1_ProductType!$B:$B,MATCH(INDEX(T2_GroupSKU!$C:$C,MATCH(B13,T2_GroupSKU!$A:$A,0)),T1_ProductType!$A:$A,0)),"")</f>
        <v>Printed Cap Seal (Branded)</v>
      </c>
      <c r="E13" s="10" t="str">
        <f t="array" ref="E13">IFERROR(INDEX(T1_ProductType!$C:$C,MATCH(INDEX(T2_GroupSKU!$C:$C,MATCH(B13,T2_GroupSKU!$A:$A,0)),T1_ProductType!$A:$A,0)),"")</f>
        <v>Accessory</v>
      </c>
      <c r="F13" s="10" t="str">
        <f t="array" ref="F13">IFERROR(INDEX(T1_ProductType!$D:$D,MATCH(INDEX(T2_GroupSKU!$C:$C,MATCH(B13,T2_GroupSKU!$A:$A,0)),T1_ProductType!$A:$A,0)),"")</f>
        <v>Plastic Barrels</v>
      </c>
      <c r="G13" s="10" t="str">
        <f t="array" ref="G13">IFERROR(IF(INDEX(T1_ProductType!$E:$E,MATCH(INDEX(T2_GroupSKU!$C:$C,MATCH(B13,T2_GroupSKU!$A:$A,0)),T1_ProductType!$A:$A,0))="","-",INDEX(T1_ProductType!$E:$E,MATCH(INDEX(T2_GroupSKU!$C:$C,MATCH(B13,T2_GroupSKU!$A:$A,0)),T1_ProductType!$A:$A,0))),"-")</f>
        <v>-</v>
      </c>
      <c r="H13" s="10" t="str">
        <f t="array" ref="H13">IFERROR(IF(INDEX(T2_GroupSKU!$D:$D,MATCH(B13,T2_GroupSKU!$A:$A,0))="","-",INDEX(T2_GroupSKU!$D:$D,MATCH(B13,T2_GroupSKU!$A:$A,0))),"-")</f>
        <v>-</v>
      </c>
      <c r="I13" s="10" t="str">
        <f t="array" ref="I13">IFERROR(IF(INDEX(T2_GroupSKU!$E:$E,MATCH(B13,T2_GroupSKU!$A:$A,0))="","-",INDEX(T2_GroupSKU!$E:$E,MATCH(B13,T2_GroupSKU!$A:$A,0))),"-")</f>
        <v>-</v>
      </c>
      <c r="J13" s="10" t="str">
        <f>T3_SKU!C13</f>
        <v>75mm / Charbhuja Logo</v>
      </c>
      <c r="K13" s="10" t="str">
        <f>T3_SKU!D13</f>
        <v>MS CAP SEAL PRINTED 75 MM (CHARBHUJA LOGO)</v>
      </c>
      <c r="L13" s="10" t="str">
        <f>T3_SKU!E13</f>
        <v>NOS</v>
      </c>
      <c r="M13" s="10" t="str">
        <f>T3_SKU!F13</f>
        <v>83099030</v>
      </c>
    </row>
    <row r="14" ht="15.0" customHeight="1">
      <c r="A14" s="10" t="str">
        <f>T3_SKU!A14</f>
        <v>CAPSL-PR-V24</v>
      </c>
      <c r="B14" s="10" t="str">
        <f>T3_SKU!B14</f>
        <v>CAPSL-PR</v>
      </c>
      <c r="C14" s="10" t="str">
        <f t="array" ref="C14">IFERROR(INDEX(T2_GroupSKU!$B:$B,MATCH(B14,T2_GroupSKU!$A:$A,0)),"")</f>
        <v>Printed Cap Seal (Branded)</v>
      </c>
      <c r="D14" s="10" t="str">
        <f t="array" ref="D14">IFERROR(INDEX(T1_ProductType!$B:$B,MATCH(INDEX(T2_GroupSKU!$C:$C,MATCH(B14,T2_GroupSKU!$A:$A,0)),T1_ProductType!$A:$A,0)),"")</f>
        <v>Printed Cap Seal (Branded)</v>
      </c>
      <c r="E14" s="10" t="str">
        <f t="array" ref="E14">IFERROR(INDEX(T1_ProductType!$C:$C,MATCH(INDEX(T2_GroupSKU!$C:$C,MATCH(B14,T2_GroupSKU!$A:$A,0)),T1_ProductType!$A:$A,0)),"")</f>
        <v>Accessory</v>
      </c>
      <c r="F14" s="10" t="str">
        <f t="array" ref="F14">IFERROR(INDEX(T1_ProductType!$D:$D,MATCH(INDEX(T2_GroupSKU!$C:$C,MATCH(B14,T2_GroupSKU!$A:$A,0)),T1_ProductType!$A:$A,0)),"")</f>
        <v>Plastic Barrels</v>
      </c>
      <c r="G14" s="10" t="str">
        <f t="array" ref="G14">IFERROR(IF(INDEX(T1_ProductType!$E:$E,MATCH(INDEX(T2_GroupSKU!$C:$C,MATCH(B14,T2_GroupSKU!$A:$A,0)),T1_ProductType!$A:$A,0))="","-",INDEX(T1_ProductType!$E:$E,MATCH(INDEX(T2_GroupSKU!$C:$C,MATCH(B14,T2_GroupSKU!$A:$A,0)),T1_ProductType!$A:$A,0))),"-")</f>
        <v>-</v>
      </c>
      <c r="H14" s="10" t="str">
        <f t="array" ref="H14">IFERROR(IF(INDEX(T2_GroupSKU!$D:$D,MATCH(B14,T2_GroupSKU!$A:$A,0))="","-",INDEX(T2_GroupSKU!$D:$D,MATCH(B14,T2_GroupSKU!$A:$A,0))),"-")</f>
        <v>-</v>
      </c>
      <c r="I14" s="10" t="str">
        <f t="array" ref="I14">IFERROR(IF(INDEX(T2_GroupSKU!$E:$E,MATCH(B14,T2_GroupSKU!$A:$A,0))="","-",INDEX(T2_GroupSKU!$E:$E,MATCH(B14,T2_GroupSKU!$A:$A,0))),"-")</f>
        <v>-</v>
      </c>
      <c r="J14" s="10" t="str">
        <f>T3_SKU!C14</f>
        <v>50mm / Sika Logo</v>
      </c>
      <c r="K14" s="10" t="str">
        <f>T3_SKU!D14</f>
        <v>MS CAP SEAL PRINTED 50 MM (SIKA LOGO)</v>
      </c>
      <c r="L14" s="10" t="str">
        <f>T3_SKU!E14</f>
        <v>NOS</v>
      </c>
      <c r="M14" s="10" t="str">
        <f>T3_SKU!F14</f>
        <v>83099030</v>
      </c>
    </row>
    <row r="15" ht="15.0" customHeight="1">
      <c r="A15" s="10" t="str">
        <f>T3_SKU!A15</f>
        <v>CAPSL-PR-V25</v>
      </c>
      <c r="B15" s="10" t="str">
        <f>T3_SKU!B15</f>
        <v>CAPSL-PR</v>
      </c>
      <c r="C15" s="10" t="str">
        <f t="array" ref="C15">IFERROR(INDEX(T2_GroupSKU!$B:$B,MATCH(B15,T2_GroupSKU!$A:$A,0)),"")</f>
        <v>Printed Cap Seal (Branded)</v>
      </c>
      <c r="D15" s="10" t="str">
        <f t="array" ref="D15">IFERROR(INDEX(T1_ProductType!$B:$B,MATCH(INDEX(T2_GroupSKU!$C:$C,MATCH(B15,T2_GroupSKU!$A:$A,0)),T1_ProductType!$A:$A,0)),"")</f>
        <v>Printed Cap Seal (Branded)</v>
      </c>
      <c r="E15" s="10" t="str">
        <f t="array" ref="E15">IFERROR(INDEX(T1_ProductType!$C:$C,MATCH(INDEX(T2_GroupSKU!$C:$C,MATCH(B15,T2_GroupSKU!$A:$A,0)),T1_ProductType!$A:$A,0)),"")</f>
        <v>Accessory</v>
      </c>
      <c r="F15" s="10" t="str">
        <f t="array" ref="F15">IFERROR(INDEX(T1_ProductType!$D:$D,MATCH(INDEX(T2_GroupSKU!$C:$C,MATCH(B15,T2_GroupSKU!$A:$A,0)),T1_ProductType!$A:$A,0)),"")</f>
        <v>Plastic Barrels</v>
      </c>
      <c r="G15" s="10" t="str">
        <f t="array" ref="G15">IFERROR(IF(INDEX(T1_ProductType!$E:$E,MATCH(INDEX(T2_GroupSKU!$C:$C,MATCH(B15,T2_GroupSKU!$A:$A,0)),T1_ProductType!$A:$A,0))="","-",INDEX(T1_ProductType!$E:$E,MATCH(INDEX(T2_GroupSKU!$C:$C,MATCH(B15,T2_GroupSKU!$A:$A,0)),T1_ProductType!$A:$A,0))),"-")</f>
        <v>-</v>
      </c>
      <c r="H15" s="10" t="str">
        <f t="array" ref="H15">IFERROR(IF(INDEX(T2_GroupSKU!$D:$D,MATCH(B15,T2_GroupSKU!$A:$A,0))="","-",INDEX(T2_GroupSKU!$D:$D,MATCH(B15,T2_GroupSKU!$A:$A,0))),"-")</f>
        <v>-</v>
      </c>
      <c r="I15" s="10" t="str">
        <f t="array" ref="I15">IFERROR(IF(INDEX(T2_GroupSKU!$E:$E,MATCH(B15,T2_GroupSKU!$A:$A,0))="","-",INDEX(T2_GroupSKU!$E:$E,MATCH(B15,T2_GroupSKU!$A:$A,0))),"-")</f>
        <v>-</v>
      </c>
      <c r="J15" s="10" t="str">
        <f>T3_SKU!C15</f>
        <v>75mm / Bitchem Logo</v>
      </c>
      <c r="K15" s="10" t="str">
        <f>T3_SKU!D15</f>
        <v>MS CAP SEAL PRINTED 75 MM (BITCHEM LOGO)</v>
      </c>
      <c r="L15" s="10" t="str">
        <f>T3_SKU!E15</f>
        <v>NOS</v>
      </c>
      <c r="M15" s="10" t="str">
        <f>T3_SKU!F15</f>
        <v>83099030</v>
      </c>
    </row>
    <row r="16" ht="15.0" customHeight="1">
      <c r="A16" s="10" t="str">
        <f>T3_SKU!A16</f>
        <v>CAPSL-PR-V26</v>
      </c>
      <c r="B16" s="10" t="str">
        <f>T3_SKU!B16</f>
        <v>CAPSL-PR</v>
      </c>
      <c r="C16" s="10" t="str">
        <f t="array" ref="C16">IFERROR(INDEX(T2_GroupSKU!$B:$B,MATCH(B16,T2_GroupSKU!$A:$A,0)),"")</f>
        <v>Printed Cap Seal (Branded)</v>
      </c>
      <c r="D16" s="10" t="str">
        <f t="array" ref="D16">IFERROR(INDEX(T1_ProductType!$B:$B,MATCH(INDEX(T2_GroupSKU!$C:$C,MATCH(B16,T2_GroupSKU!$A:$A,0)),T1_ProductType!$A:$A,0)),"")</f>
        <v>Printed Cap Seal (Branded)</v>
      </c>
      <c r="E16" s="10" t="str">
        <f t="array" ref="E16">IFERROR(INDEX(T1_ProductType!$C:$C,MATCH(INDEX(T2_GroupSKU!$C:$C,MATCH(B16,T2_GroupSKU!$A:$A,0)),T1_ProductType!$A:$A,0)),"")</f>
        <v>Accessory</v>
      </c>
      <c r="F16" s="10" t="str">
        <f t="array" ref="F16">IFERROR(INDEX(T1_ProductType!$D:$D,MATCH(INDEX(T2_GroupSKU!$C:$C,MATCH(B16,T2_GroupSKU!$A:$A,0)),T1_ProductType!$A:$A,0)),"")</f>
        <v>Plastic Barrels</v>
      </c>
      <c r="G16" s="10" t="str">
        <f t="array" ref="G16">IFERROR(IF(INDEX(T1_ProductType!$E:$E,MATCH(INDEX(T2_GroupSKU!$C:$C,MATCH(B16,T2_GroupSKU!$A:$A,0)),T1_ProductType!$A:$A,0))="","-",INDEX(T1_ProductType!$E:$E,MATCH(INDEX(T2_GroupSKU!$C:$C,MATCH(B16,T2_GroupSKU!$A:$A,0)),T1_ProductType!$A:$A,0))),"-")</f>
        <v>-</v>
      </c>
      <c r="H16" s="10" t="str">
        <f t="array" ref="H16">IFERROR(IF(INDEX(T2_GroupSKU!$D:$D,MATCH(B16,T2_GroupSKU!$A:$A,0))="","-",INDEX(T2_GroupSKU!$D:$D,MATCH(B16,T2_GroupSKU!$A:$A,0))),"-")</f>
        <v>-</v>
      </c>
      <c r="I16" s="10" t="str">
        <f t="array" ref="I16">IFERROR(IF(INDEX(T2_GroupSKU!$E:$E,MATCH(B16,T2_GroupSKU!$A:$A,0))="","-",INDEX(T2_GroupSKU!$E:$E,MATCH(B16,T2_GroupSKU!$A:$A,0))),"-")</f>
        <v>-</v>
      </c>
      <c r="J16" s="10" t="str">
        <f>T3_SKU!C16</f>
        <v>75mm / Unitop Logo</v>
      </c>
      <c r="K16" s="10" t="str">
        <f>T3_SKU!D16</f>
        <v>MS CAP SEAL PRINTED 75 MM (UNITOP LOGO)</v>
      </c>
      <c r="L16" s="10" t="str">
        <f>T3_SKU!E16</f>
        <v>NOS</v>
      </c>
      <c r="M16" s="10" t="str">
        <f>T3_SKU!F16</f>
        <v>               </v>
      </c>
    </row>
    <row r="17" ht="15.0" customHeight="1">
      <c r="A17" s="10" t="str">
        <f>T3_SKU!A17</f>
        <v>CAPSL-PR-V27</v>
      </c>
      <c r="B17" s="10" t="str">
        <f>T3_SKU!B17</f>
        <v>CAPSL-PR</v>
      </c>
      <c r="C17" s="10" t="str">
        <f t="array" ref="C17">IFERROR(INDEX(T2_GroupSKU!$B:$B,MATCH(B17,T2_GroupSKU!$A:$A,0)),"")</f>
        <v>Printed Cap Seal (Branded)</v>
      </c>
      <c r="D17" s="10" t="str">
        <f t="array" ref="D17">IFERROR(INDEX(T1_ProductType!$B:$B,MATCH(INDEX(T2_GroupSKU!$C:$C,MATCH(B17,T2_GroupSKU!$A:$A,0)),T1_ProductType!$A:$A,0)),"")</f>
        <v>Printed Cap Seal (Branded)</v>
      </c>
      <c r="E17" s="10" t="str">
        <f t="array" ref="E17">IFERROR(INDEX(T1_ProductType!$C:$C,MATCH(INDEX(T2_GroupSKU!$C:$C,MATCH(B17,T2_GroupSKU!$A:$A,0)),T1_ProductType!$A:$A,0)),"")</f>
        <v>Accessory</v>
      </c>
      <c r="F17" s="10" t="str">
        <f t="array" ref="F17">IFERROR(INDEX(T1_ProductType!$D:$D,MATCH(INDEX(T2_GroupSKU!$C:$C,MATCH(B17,T2_GroupSKU!$A:$A,0)),T1_ProductType!$A:$A,0)),"")</f>
        <v>Plastic Barrels</v>
      </c>
      <c r="G17" s="10" t="str">
        <f t="array" ref="G17">IFERROR(IF(INDEX(T1_ProductType!$E:$E,MATCH(INDEX(T2_GroupSKU!$C:$C,MATCH(B17,T2_GroupSKU!$A:$A,0)),T1_ProductType!$A:$A,0))="","-",INDEX(T1_ProductType!$E:$E,MATCH(INDEX(T2_GroupSKU!$C:$C,MATCH(B17,T2_GroupSKU!$A:$A,0)),T1_ProductType!$A:$A,0))),"-")</f>
        <v>-</v>
      </c>
      <c r="H17" s="10" t="str">
        <f t="array" ref="H17">IFERROR(IF(INDEX(T2_GroupSKU!$D:$D,MATCH(B17,T2_GroupSKU!$A:$A,0))="","-",INDEX(T2_GroupSKU!$D:$D,MATCH(B17,T2_GroupSKU!$A:$A,0))),"-")</f>
        <v>-</v>
      </c>
      <c r="I17" s="10" t="str">
        <f t="array" ref="I17">IFERROR(IF(INDEX(T2_GroupSKU!$E:$E,MATCH(B17,T2_GroupSKU!$A:$A,0))="","-",INDEX(T2_GroupSKU!$E:$E,MATCH(B17,T2_GroupSKU!$A:$A,0))),"-")</f>
        <v>-</v>
      </c>
      <c r="J17" s="10" t="str">
        <f>T3_SKU!C17</f>
        <v>50mm / Chiripal Logo</v>
      </c>
      <c r="K17" s="10" t="str">
        <f>T3_SKU!D17</f>
        <v>MS CAP SEAL PRINTED 50 MM (CHIRIPAL LOGO)</v>
      </c>
      <c r="L17" s="10" t="str">
        <f>T3_SKU!E17</f>
        <v>NOS</v>
      </c>
      <c r="M17" s="10" t="str">
        <f>T3_SKU!F17</f>
        <v>83099030</v>
      </c>
    </row>
    <row r="18" ht="15.0" customHeight="1">
      <c r="A18" s="10" t="str">
        <f>T3_SKU!A18</f>
        <v>CAPSL-PR-V28</v>
      </c>
      <c r="B18" s="10" t="str">
        <f>T3_SKU!B18</f>
        <v>CAPSL-PR</v>
      </c>
      <c r="C18" s="10" t="str">
        <f t="array" ref="C18">IFERROR(INDEX(T2_GroupSKU!$B:$B,MATCH(B18,T2_GroupSKU!$A:$A,0)),"")</f>
        <v>Printed Cap Seal (Branded)</v>
      </c>
      <c r="D18" s="10" t="str">
        <f t="array" ref="D18">IFERROR(INDEX(T1_ProductType!$B:$B,MATCH(INDEX(T2_GroupSKU!$C:$C,MATCH(B18,T2_GroupSKU!$A:$A,0)),T1_ProductType!$A:$A,0)),"")</f>
        <v>Printed Cap Seal (Branded)</v>
      </c>
      <c r="E18" s="10" t="str">
        <f t="array" ref="E18">IFERROR(INDEX(T1_ProductType!$C:$C,MATCH(INDEX(T2_GroupSKU!$C:$C,MATCH(B18,T2_GroupSKU!$A:$A,0)),T1_ProductType!$A:$A,0)),"")</f>
        <v>Accessory</v>
      </c>
      <c r="F18" s="10" t="str">
        <f t="array" ref="F18">IFERROR(INDEX(T1_ProductType!$D:$D,MATCH(INDEX(T2_GroupSKU!$C:$C,MATCH(B18,T2_GroupSKU!$A:$A,0)),T1_ProductType!$A:$A,0)),"")</f>
        <v>Plastic Barrels</v>
      </c>
      <c r="G18" s="10" t="str">
        <f t="array" ref="G18">IFERROR(IF(INDEX(T1_ProductType!$E:$E,MATCH(INDEX(T2_GroupSKU!$C:$C,MATCH(B18,T2_GroupSKU!$A:$A,0)),T1_ProductType!$A:$A,0))="","-",INDEX(T1_ProductType!$E:$E,MATCH(INDEX(T2_GroupSKU!$C:$C,MATCH(B18,T2_GroupSKU!$A:$A,0)),T1_ProductType!$A:$A,0))),"-")</f>
        <v>-</v>
      </c>
      <c r="H18" s="10" t="str">
        <f t="array" ref="H18">IFERROR(IF(INDEX(T2_GroupSKU!$D:$D,MATCH(B18,T2_GroupSKU!$A:$A,0))="","-",INDEX(T2_GroupSKU!$D:$D,MATCH(B18,T2_GroupSKU!$A:$A,0))),"-")</f>
        <v>-</v>
      </c>
      <c r="I18" s="10" t="str">
        <f t="array" ref="I18">IFERROR(IF(INDEX(T2_GroupSKU!$E:$E,MATCH(B18,T2_GroupSKU!$A:$A,0))="","-",INDEX(T2_GroupSKU!$E:$E,MATCH(B18,T2_GroupSKU!$A:$A,0))),"-")</f>
        <v>-</v>
      </c>
      <c r="J18" s="10" t="str">
        <f>T3_SKU!C18</f>
        <v>50mm / Tashoil Logo</v>
      </c>
      <c r="K18" s="10" t="str">
        <f>T3_SKU!D18</f>
        <v>MS CAP SEAL PRINTED 50 MM (TASHOIL LOGO )</v>
      </c>
      <c r="L18" s="10" t="str">
        <f>T3_SKU!E18</f>
        <v>nos</v>
      </c>
      <c r="M18" s="10" t="str">
        <f>T3_SKU!F18</f>
        <v>83099030</v>
      </c>
    </row>
    <row r="19" ht="15.0" customHeight="1">
      <c r="A19" s="10" t="str">
        <f>T3_SKU!A19</f>
        <v>CAPSL-PR-V29</v>
      </c>
      <c r="B19" s="10" t="str">
        <f>T3_SKU!B19</f>
        <v>CAPSL-PR</v>
      </c>
      <c r="C19" s="10" t="str">
        <f t="array" ref="C19">IFERROR(INDEX(T2_GroupSKU!$B:$B,MATCH(B19,T2_GroupSKU!$A:$A,0)),"")</f>
        <v>Printed Cap Seal (Branded)</v>
      </c>
      <c r="D19" s="10" t="str">
        <f t="array" ref="D19">IFERROR(INDEX(T1_ProductType!$B:$B,MATCH(INDEX(T2_GroupSKU!$C:$C,MATCH(B19,T2_GroupSKU!$A:$A,0)),T1_ProductType!$A:$A,0)),"")</f>
        <v>Printed Cap Seal (Branded)</v>
      </c>
      <c r="E19" s="10" t="str">
        <f t="array" ref="E19">IFERROR(INDEX(T1_ProductType!$C:$C,MATCH(INDEX(T2_GroupSKU!$C:$C,MATCH(B19,T2_GroupSKU!$A:$A,0)),T1_ProductType!$A:$A,0)),"")</f>
        <v>Accessory</v>
      </c>
      <c r="F19" s="10" t="str">
        <f t="array" ref="F19">IFERROR(INDEX(T1_ProductType!$D:$D,MATCH(INDEX(T2_GroupSKU!$C:$C,MATCH(B19,T2_GroupSKU!$A:$A,0)),T1_ProductType!$A:$A,0)),"")</f>
        <v>Plastic Barrels</v>
      </c>
      <c r="G19" s="10" t="str">
        <f t="array" ref="G19">IFERROR(IF(INDEX(T1_ProductType!$E:$E,MATCH(INDEX(T2_GroupSKU!$C:$C,MATCH(B19,T2_GroupSKU!$A:$A,0)),T1_ProductType!$A:$A,0))="","-",INDEX(T1_ProductType!$E:$E,MATCH(INDEX(T2_GroupSKU!$C:$C,MATCH(B19,T2_GroupSKU!$A:$A,0)),T1_ProductType!$A:$A,0))),"-")</f>
        <v>-</v>
      </c>
      <c r="H19" s="10" t="str">
        <f t="array" ref="H19">IFERROR(IF(INDEX(T2_GroupSKU!$D:$D,MATCH(B19,T2_GroupSKU!$A:$A,0))="","-",INDEX(T2_GroupSKU!$D:$D,MATCH(B19,T2_GroupSKU!$A:$A,0))),"-")</f>
        <v>-</v>
      </c>
      <c r="I19" s="10" t="str">
        <f t="array" ref="I19">IFERROR(IF(INDEX(T2_GroupSKU!$E:$E,MATCH(B19,T2_GroupSKU!$A:$A,0))="","-",INDEX(T2_GroupSKU!$E:$E,MATCH(B19,T2_GroupSKU!$A:$A,0))),"-")</f>
        <v>-</v>
      </c>
      <c r="J19" s="10" t="str">
        <f>T3_SKU!C19</f>
        <v>50mm / Aethel Logo</v>
      </c>
      <c r="K19" s="10" t="str">
        <f>T3_SKU!D19</f>
        <v>MS CAP SEAL PRINTED 50 MM (AETHEL LOGO)</v>
      </c>
      <c r="L19" s="10" t="str">
        <f>T3_SKU!E19</f>
        <v>NOS</v>
      </c>
      <c r="M19" s="10" t="str">
        <f>T3_SKU!F19</f>
        <v>83099090</v>
      </c>
    </row>
    <row r="20" ht="15.0" customHeight="1">
      <c r="A20" s="10" t="str">
        <f>T3_SKU!A20</f>
        <v>CAPSL-PR-V30</v>
      </c>
      <c r="B20" s="10" t="str">
        <f>T3_SKU!B20</f>
        <v>CAPSL-PR</v>
      </c>
      <c r="C20" s="10" t="str">
        <f t="array" ref="C20">IFERROR(INDEX(T2_GroupSKU!$B:$B,MATCH(B20,T2_GroupSKU!$A:$A,0)),"")</f>
        <v>Printed Cap Seal (Branded)</v>
      </c>
      <c r="D20" s="10" t="str">
        <f t="array" ref="D20">IFERROR(INDEX(T1_ProductType!$B:$B,MATCH(INDEX(T2_GroupSKU!$C:$C,MATCH(B20,T2_GroupSKU!$A:$A,0)),T1_ProductType!$A:$A,0)),"")</f>
        <v>Printed Cap Seal (Branded)</v>
      </c>
      <c r="E20" s="10" t="str">
        <f t="array" ref="E20">IFERROR(INDEX(T1_ProductType!$C:$C,MATCH(INDEX(T2_GroupSKU!$C:$C,MATCH(B20,T2_GroupSKU!$A:$A,0)),T1_ProductType!$A:$A,0)),"")</f>
        <v>Accessory</v>
      </c>
      <c r="F20" s="10" t="str">
        <f t="array" ref="F20">IFERROR(INDEX(T1_ProductType!$D:$D,MATCH(INDEX(T2_GroupSKU!$C:$C,MATCH(B20,T2_GroupSKU!$A:$A,0)),T1_ProductType!$A:$A,0)),"")</f>
        <v>Plastic Barrels</v>
      </c>
      <c r="G20" s="10" t="str">
        <f t="array" ref="G20">IFERROR(IF(INDEX(T1_ProductType!$E:$E,MATCH(INDEX(T2_GroupSKU!$C:$C,MATCH(B20,T2_GroupSKU!$A:$A,0)),T1_ProductType!$A:$A,0))="","-",INDEX(T1_ProductType!$E:$E,MATCH(INDEX(T2_GroupSKU!$C:$C,MATCH(B20,T2_GroupSKU!$A:$A,0)),T1_ProductType!$A:$A,0))),"-")</f>
        <v>-</v>
      </c>
      <c r="H20" s="10" t="str">
        <f t="array" ref="H20">IFERROR(IF(INDEX(T2_GroupSKU!$D:$D,MATCH(B20,T2_GroupSKU!$A:$A,0))="","-",INDEX(T2_GroupSKU!$D:$D,MATCH(B20,T2_GroupSKU!$A:$A,0))),"-")</f>
        <v>-</v>
      </c>
      <c r="I20" s="10" t="str">
        <f t="array" ref="I20">IFERROR(IF(INDEX(T2_GroupSKU!$E:$E,MATCH(B20,T2_GroupSKU!$A:$A,0))="","-",INDEX(T2_GroupSKU!$E:$E,MATCH(B20,T2_GroupSKU!$A:$A,0))),"-")</f>
        <v>-</v>
      </c>
      <c r="J20" s="10" t="str">
        <f>T3_SKU!C20</f>
        <v>50mm / Ansika Logo</v>
      </c>
      <c r="K20" s="10" t="str">
        <f>T3_SKU!D20</f>
        <v>MS CAP SEAL PRINTED 50 MM (ANSIKA LOGO)</v>
      </c>
      <c r="L20" s="10" t="str">
        <f>T3_SKU!E20</f>
        <v>NOS</v>
      </c>
      <c r="M20" s="10" t="str">
        <f>T3_SKU!F20</f>
        <v>83099030</v>
      </c>
    </row>
    <row r="21" ht="15.0" customHeight="1">
      <c r="A21" s="10" t="str">
        <f>T3_SKU!A21</f>
        <v>CAPSL-PR-V32</v>
      </c>
      <c r="B21" s="10" t="str">
        <f>T3_SKU!B21</f>
        <v>CAPSL-PR</v>
      </c>
      <c r="C21" s="10" t="str">
        <f t="array" ref="C21">IFERROR(INDEX(T2_GroupSKU!$B:$B,MATCH(B21,T2_GroupSKU!$A:$A,0)),"")</f>
        <v>Printed Cap Seal (Branded)</v>
      </c>
      <c r="D21" s="10" t="str">
        <f t="array" ref="D21">IFERROR(INDEX(T1_ProductType!$B:$B,MATCH(INDEX(T2_GroupSKU!$C:$C,MATCH(B21,T2_GroupSKU!$A:$A,0)),T1_ProductType!$A:$A,0)),"")</f>
        <v>Printed Cap Seal (Branded)</v>
      </c>
      <c r="E21" s="10" t="str">
        <f t="array" ref="E21">IFERROR(INDEX(T1_ProductType!$C:$C,MATCH(INDEX(T2_GroupSKU!$C:$C,MATCH(B21,T2_GroupSKU!$A:$A,0)),T1_ProductType!$A:$A,0)),"")</f>
        <v>Accessory</v>
      </c>
      <c r="F21" s="10" t="str">
        <f t="array" ref="F21">IFERROR(INDEX(T1_ProductType!$D:$D,MATCH(INDEX(T2_GroupSKU!$C:$C,MATCH(B21,T2_GroupSKU!$A:$A,0)),T1_ProductType!$A:$A,0)),"")</f>
        <v>Plastic Barrels</v>
      </c>
      <c r="G21" s="10" t="str">
        <f t="array" ref="G21">IFERROR(IF(INDEX(T1_ProductType!$E:$E,MATCH(INDEX(T2_GroupSKU!$C:$C,MATCH(B21,T2_GroupSKU!$A:$A,0)),T1_ProductType!$A:$A,0))="","-",INDEX(T1_ProductType!$E:$E,MATCH(INDEX(T2_GroupSKU!$C:$C,MATCH(B21,T2_GroupSKU!$A:$A,0)),T1_ProductType!$A:$A,0))),"-")</f>
        <v>-</v>
      </c>
      <c r="H21" s="10" t="str">
        <f t="array" ref="H21">IFERROR(IF(INDEX(T2_GroupSKU!$D:$D,MATCH(B21,T2_GroupSKU!$A:$A,0))="","-",INDEX(T2_GroupSKU!$D:$D,MATCH(B21,T2_GroupSKU!$A:$A,0))),"-")</f>
        <v>-</v>
      </c>
      <c r="I21" s="10" t="str">
        <f t="array" ref="I21">IFERROR(IF(INDEX(T2_GroupSKU!$E:$E,MATCH(B21,T2_GroupSKU!$A:$A,0))="","-",INDEX(T2_GroupSKU!$E:$E,MATCH(B21,T2_GroupSKU!$A:$A,0))),"-")</f>
        <v>-</v>
      </c>
      <c r="J21" s="10" t="str">
        <f>T3_SKU!C21</f>
        <v>50mm / Gfl Logo</v>
      </c>
      <c r="K21" s="10" t="str">
        <f>T3_SKU!D21</f>
        <v>MS CAP SEAL PRINTED 50 MM (GFL LOGO)</v>
      </c>
      <c r="L21" s="10" t="str">
        <f>T3_SKU!E21</f>
        <v>NOS</v>
      </c>
      <c r="M21" s="10" t="str">
        <f>T3_SKU!F21</f>
        <v>83099090</v>
      </c>
    </row>
    <row r="22" ht="15.0" customHeight="1">
      <c r="A22" s="10" t="str">
        <f>T3_SKU!A22</f>
        <v>CAPSL-PR-V33</v>
      </c>
      <c r="B22" s="10" t="str">
        <f>T3_SKU!B22</f>
        <v>CAPSL-PR</v>
      </c>
      <c r="C22" s="10" t="str">
        <f t="array" ref="C22">IFERROR(INDEX(T2_GroupSKU!$B:$B,MATCH(B22,T2_GroupSKU!$A:$A,0)),"")</f>
        <v>Printed Cap Seal (Branded)</v>
      </c>
      <c r="D22" s="10" t="str">
        <f t="array" ref="D22">IFERROR(INDEX(T1_ProductType!$B:$B,MATCH(INDEX(T2_GroupSKU!$C:$C,MATCH(B22,T2_GroupSKU!$A:$A,0)),T1_ProductType!$A:$A,0)),"")</f>
        <v>Printed Cap Seal (Branded)</v>
      </c>
      <c r="E22" s="10" t="str">
        <f t="array" ref="E22">IFERROR(INDEX(T1_ProductType!$C:$C,MATCH(INDEX(T2_GroupSKU!$C:$C,MATCH(B22,T2_GroupSKU!$A:$A,0)),T1_ProductType!$A:$A,0)),"")</f>
        <v>Accessory</v>
      </c>
      <c r="F22" s="10" t="str">
        <f t="array" ref="F22">IFERROR(INDEX(T1_ProductType!$D:$D,MATCH(INDEX(T2_GroupSKU!$C:$C,MATCH(B22,T2_GroupSKU!$A:$A,0)),T1_ProductType!$A:$A,0)),"")</f>
        <v>Plastic Barrels</v>
      </c>
      <c r="G22" s="10" t="str">
        <f t="array" ref="G22">IFERROR(IF(INDEX(T1_ProductType!$E:$E,MATCH(INDEX(T2_GroupSKU!$C:$C,MATCH(B22,T2_GroupSKU!$A:$A,0)),T1_ProductType!$A:$A,0))="","-",INDEX(T1_ProductType!$E:$E,MATCH(INDEX(T2_GroupSKU!$C:$C,MATCH(B22,T2_GroupSKU!$A:$A,0)),T1_ProductType!$A:$A,0))),"-")</f>
        <v>-</v>
      </c>
      <c r="H22" s="10" t="str">
        <f t="array" ref="H22">IFERROR(IF(INDEX(T2_GroupSKU!$D:$D,MATCH(B22,T2_GroupSKU!$A:$A,0))="","-",INDEX(T2_GroupSKU!$D:$D,MATCH(B22,T2_GroupSKU!$A:$A,0))),"-")</f>
        <v>-</v>
      </c>
      <c r="I22" s="10" t="str">
        <f t="array" ref="I22">IFERROR(IF(INDEX(T2_GroupSKU!$E:$E,MATCH(B22,T2_GroupSKU!$A:$A,0))="","-",INDEX(T2_GroupSKU!$E:$E,MATCH(B22,T2_GroupSKU!$A:$A,0))),"-")</f>
        <v>-</v>
      </c>
      <c r="J22" s="10" t="str">
        <f>T3_SKU!C22</f>
        <v>50mm / Gp Logo</v>
      </c>
      <c r="K22" s="10" t="str">
        <f>T3_SKU!D22</f>
        <v>MS CAP SEAL PRINTED 50 MM (GP LOGO)</v>
      </c>
      <c r="L22" s="10" t="str">
        <f>T3_SKU!E22</f>
        <v>NOS</v>
      </c>
      <c r="M22" s="10" t="str">
        <f>T3_SKU!F22</f>
        <v>83099030</v>
      </c>
    </row>
    <row r="23" ht="15.0" customHeight="1">
      <c r="A23" s="10" t="str">
        <f>T3_SKU!A23</f>
        <v>CAPSL-PR-V34</v>
      </c>
      <c r="B23" s="10" t="str">
        <f>T3_SKU!B23</f>
        <v>CAPSL-PR</v>
      </c>
      <c r="C23" s="10" t="str">
        <f t="array" ref="C23">IFERROR(INDEX(T2_GroupSKU!$B:$B,MATCH(B23,T2_GroupSKU!$A:$A,0)),"")</f>
        <v>Printed Cap Seal (Branded)</v>
      </c>
      <c r="D23" s="10" t="str">
        <f t="array" ref="D23">IFERROR(INDEX(T1_ProductType!$B:$B,MATCH(INDEX(T2_GroupSKU!$C:$C,MATCH(B23,T2_GroupSKU!$A:$A,0)),T1_ProductType!$A:$A,0)),"")</f>
        <v>Printed Cap Seal (Branded)</v>
      </c>
      <c r="E23" s="10" t="str">
        <f t="array" ref="E23">IFERROR(INDEX(T1_ProductType!$C:$C,MATCH(INDEX(T2_GroupSKU!$C:$C,MATCH(B23,T2_GroupSKU!$A:$A,0)),T1_ProductType!$A:$A,0)),"")</f>
        <v>Accessory</v>
      </c>
      <c r="F23" s="10" t="str">
        <f t="array" ref="F23">IFERROR(INDEX(T1_ProductType!$D:$D,MATCH(INDEX(T2_GroupSKU!$C:$C,MATCH(B23,T2_GroupSKU!$A:$A,0)),T1_ProductType!$A:$A,0)),"")</f>
        <v>Plastic Barrels</v>
      </c>
      <c r="G23" s="10" t="str">
        <f t="array" ref="G23">IFERROR(IF(INDEX(T1_ProductType!$E:$E,MATCH(INDEX(T2_GroupSKU!$C:$C,MATCH(B23,T2_GroupSKU!$A:$A,0)),T1_ProductType!$A:$A,0))="","-",INDEX(T1_ProductType!$E:$E,MATCH(INDEX(T2_GroupSKU!$C:$C,MATCH(B23,T2_GroupSKU!$A:$A,0)),T1_ProductType!$A:$A,0))),"-")</f>
        <v>-</v>
      </c>
      <c r="H23" s="10" t="str">
        <f t="array" ref="H23">IFERROR(IF(INDEX(T2_GroupSKU!$D:$D,MATCH(B23,T2_GroupSKU!$A:$A,0))="","-",INDEX(T2_GroupSKU!$D:$D,MATCH(B23,T2_GroupSKU!$A:$A,0))),"-")</f>
        <v>-</v>
      </c>
      <c r="I23" s="10" t="str">
        <f t="array" ref="I23">IFERROR(IF(INDEX(T2_GroupSKU!$E:$E,MATCH(B23,T2_GroupSKU!$A:$A,0))="","-",INDEX(T2_GroupSKU!$E:$E,MATCH(B23,T2_GroupSKU!$A:$A,0))),"-")</f>
        <v>-</v>
      </c>
      <c r="J23" s="10" t="str">
        <f>T3_SKU!C23</f>
        <v>50mm / Iol Logo</v>
      </c>
      <c r="K23" s="10" t="str">
        <f>T3_SKU!D23</f>
        <v>MS CAP SEAL PRINTED 50 MM (IOL LOGO )</v>
      </c>
      <c r="L23" s="10" t="str">
        <f>T3_SKU!E23</f>
        <v>NOS</v>
      </c>
      <c r="M23" s="10" t="str">
        <f>T3_SKU!F23</f>
        <v>83099030</v>
      </c>
    </row>
    <row r="24" ht="15.0" customHeight="1">
      <c r="A24" s="10" t="str">
        <f>T3_SKU!A24</f>
        <v>CAPSL-PR-V35</v>
      </c>
      <c r="B24" s="10" t="str">
        <f>T3_SKU!B24</f>
        <v>CAPSL-PR</v>
      </c>
      <c r="C24" s="10" t="str">
        <f t="array" ref="C24">IFERROR(INDEX(T2_GroupSKU!$B:$B,MATCH(B24,T2_GroupSKU!$A:$A,0)),"")</f>
        <v>Printed Cap Seal (Branded)</v>
      </c>
      <c r="D24" s="10" t="str">
        <f t="array" ref="D24">IFERROR(INDEX(T1_ProductType!$B:$B,MATCH(INDEX(T2_GroupSKU!$C:$C,MATCH(B24,T2_GroupSKU!$A:$A,0)),T1_ProductType!$A:$A,0)),"")</f>
        <v>Printed Cap Seal (Branded)</v>
      </c>
      <c r="E24" s="10" t="str">
        <f t="array" ref="E24">IFERROR(INDEX(T1_ProductType!$C:$C,MATCH(INDEX(T2_GroupSKU!$C:$C,MATCH(B24,T2_GroupSKU!$A:$A,0)),T1_ProductType!$A:$A,0)),"")</f>
        <v>Accessory</v>
      </c>
      <c r="F24" s="10" t="str">
        <f t="array" ref="F24">IFERROR(INDEX(T1_ProductType!$D:$D,MATCH(INDEX(T2_GroupSKU!$C:$C,MATCH(B24,T2_GroupSKU!$A:$A,0)),T1_ProductType!$A:$A,0)),"")</f>
        <v>Plastic Barrels</v>
      </c>
      <c r="G24" s="10" t="str">
        <f t="array" ref="G24">IFERROR(IF(INDEX(T1_ProductType!$E:$E,MATCH(INDEX(T2_GroupSKU!$C:$C,MATCH(B24,T2_GroupSKU!$A:$A,0)),T1_ProductType!$A:$A,0))="","-",INDEX(T1_ProductType!$E:$E,MATCH(INDEX(T2_GroupSKU!$C:$C,MATCH(B24,T2_GroupSKU!$A:$A,0)),T1_ProductType!$A:$A,0))),"-")</f>
        <v>-</v>
      </c>
      <c r="H24" s="10" t="str">
        <f t="array" ref="H24">IFERROR(IF(INDEX(T2_GroupSKU!$D:$D,MATCH(B24,T2_GroupSKU!$A:$A,0))="","-",INDEX(T2_GroupSKU!$D:$D,MATCH(B24,T2_GroupSKU!$A:$A,0))),"-")</f>
        <v>-</v>
      </c>
      <c r="I24" s="10" t="str">
        <f t="array" ref="I24">IFERROR(IF(INDEX(T2_GroupSKU!$E:$E,MATCH(B24,T2_GroupSKU!$A:$A,0))="","-",INDEX(T2_GroupSKU!$E:$E,MATCH(B24,T2_GroupSKU!$A:$A,0))),"-")</f>
        <v>-</v>
      </c>
      <c r="J24" s="10" t="str">
        <f>T3_SKU!C24</f>
        <v>50mm / Maxwell Logo</v>
      </c>
      <c r="K24" s="10" t="str">
        <f>T3_SKU!D24</f>
        <v>MS CAP SEAL PRINTED 50 MM (MAXWELL LOGO)</v>
      </c>
      <c r="L24" s="10" t="str">
        <f>T3_SKU!E24</f>
        <v>NOS</v>
      </c>
      <c r="M24" s="10" t="str">
        <f>T3_SKU!F24</f>
        <v>83099030</v>
      </c>
    </row>
    <row r="25" ht="15.0" customHeight="1">
      <c r="A25" s="10" t="str">
        <f>T3_SKU!A25</f>
        <v>CAPSL-PR-V36</v>
      </c>
      <c r="B25" s="10" t="str">
        <f>T3_SKU!B25</f>
        <v>CAPSL-PR</v>
      </c>
      <c r="C25" s="10" t="str">
        <f t="array" ref="C25">IFERROR(INDEX(T2_GroupSKU!$B:$B,MATCH(B25,T2_GroupSKU!$A:$A,0)),"")</f>
        <v>Printed Cap Seal (Branded)</v>
      </c>
      <c r="D25" s="10" t="str">
        <f t="array" ref="D25">IFERROR(INDEX(T1_ProductType!$B:$B,MATCH(INDEX(T2_GroupSKU!$C:$C,MATCH(B25,T2_GroupSKU!$A:$A,0)),T1_ProductType!$A:$A,0)),"")</f>
        <v>Printed Cap Seal (Branded)</v>
      </c>
      <c r="E25" s="10" t="str">
        <f t="array" ref="E25">IFERROR(INDEX(T1_ProductType!$C:$C,MATCH(INDEX(T2_GroupSKU!$C:$C,MATCH(B25,T2_GroupSKU!$A:$A,0)),T1_ProductType!$A:$A,0)),"")</f>
        <v>Accessory</v>
      </c>
      <c r="F25" s="10" t="str">
        <f t="array" ref="F25">IFERROR(INDEX(T1_ProductType!$D:$D,MATCH(INDEX(T2_GroupSKU!$C:$C,MATCH(B25,T2_GroupSKU!$A:$A,0)),T1_ProductType!$A:$A,0)),"")</f>
        <v>Plastic Barrels</v>
      </c>
      <c r="G25" s="10" t="str">
        <f t="array" ref="G25">IFERROR(IF(INDEX(T1_ProductType!$E:$E,MATCH(INDEX(T2_GroupSKU!$C:$C,MATCH(B25,T2_GroupSKU!$A:$A,0)),T1_ProductType!$A:$A,0))="","-",INDEX(T1_ProductType!$E:$E,MATCH(INDEX(T2_GroupSKU!$C:$C,MATCH(B25,T2_GroupSKU!$A:$A,0)),T1_ProductType!$A:$A,0))),"-")</f>
        <v>-</v>
      </c>
      <c r="H25" s="10" t="str">
        <f t="array" ref="H25">IFERROR(IF(INDEX(T2_GroupSKU!$D:$D,MATCH(B25,T2_GroupSKU!$A:$A,0))="","-",INDEX(T2_GroupSKU!$D:$D,MATCH(B25,T2_GroupSKU!$A:$A,0))),"-")</f>
        <v>-</v>
      </c>
      <c r="I25" s="10" t="str">
        <f t="array" ref="I25">IFERROR(IF(INDEX(T2_GroupSKU!$E:$E,MATCH(B25,T2_GroupSKU!$A:$A,0))="","-",INDEX(T2_GroupSKU!$E:$E,MATCH(B25,T2_GroupSKU!$A:$A,0))),"-")</f>
        <v>-</v>
      </c>
      <c r="J25" s="10" t="str">
        <f>T3_SKU!C25</f>
        <v>50mm / Megamani Fine</v>
      </c>
      <c r="K25" s="10" t="str">
        <f>T3_SKU!D25</f>
        <v>MS CAP SEAL PRINTED 50 MM (MEGAMANI FINE)</v>
      </c>
      <c r="L25" s="10" t="str">
        <f>T3_SKU!E25</f>
        <v>NOS</v>
      </c>
      <c r="M25" s="10" t="str">
        <f>T3_SKU!F25</f>
        <v>               </v>
      </c>
    </row>
    <row r="26" ht="15.0" customHeight="1">
      <c r="A26" s="10" t="str">
        <f>T3_SKU!A26</f>
        <v>CAPSL-PR-V37</v>
      </c>
      <c r="B26" s="10" t="str">
        <f>T3_SKU!B26</f>
        <v>CAPSL-PR</v>
      </c>
      <c r="C26" s="10" t="str">
        <f t="array" ref="C26">IFERROR(INDEX(T2_GroupSKU!$B:$B,MATCH(B26,T2_GroupSKU!$A:$A,0)),"")</f>
        <v>Printed Cap Seal (Branded)</v>
      </c>
      <c r="D26" s="10" t="str">
        <f t="array" ref="D26">IFERROR(INDEX(T1_ProductType!$B:$B,MATCH(INDEX(T2_GroupSKU!$C:$C,MATCH(B26,T2_GroupSKU!$A:$A,0)),T1_ProductType!$A:$A,0)),"")</f>
        <v>Printed Cap Seal (Branded)</v>
      </c>
      <c r="E26" s="10" t="str">
        <f t="array" ref="E26">IFERROR(INDEX(T1_ProductType!$C:$C,MATCH(INDEX(T2_GroupSKU!$C:$C,MATCH(B26,T2_GroupSKU!$A:$A,0)),T1_ProductType!$A:$A,0)),"")</f>
        <v>Accessory</v>
      </c>
      <c r="F26" s="10" t="str">
        <f t="array" ref="F26">IFERROR(INDEX(T1_ProductType!$D:$D,MATCH(INDEX(T2_GroupSKU!$C:$C,MATCH(B26,T2_GroupSKU!$A:$A,0)),T1_ProductType!$A:$A,0)),"")</f>
        <v>Plastic Barrels</v>
      </c>
      <c r="G26" s="10" t="str">
        <f t="array" ref="G26">IFERROR(IF(INDEX(T1_ProductType!$E:$E,MATCH(INDEX(T2_GroupSKU!$C:$C,MATCH(B26,T2_GroupSKU!$A:$A,0)),T1_ProductType!$A:$A,0))="","-",INDEX(T1_ProductType!$E:$E,MATCH(INDEX(T2_GroupSKU!$C:$C,MATCH(B26,T2_GroupSKU!$A:$A,0)),T1_ProductType!$A:$A,0))),"-")</f>
        <v>-</v>
      </c>
      <c r="H26" s="10" t="str">
        <f t="array" ref="H26">IFERROR(IF(INDEX(T2_GroupSKU!$D:$D,MATCH(B26,T2_GroupSKU!$A:$A,0))="","-",INDEX(T2_GroupSKU!$D:$D,MATCH(B26,T2_GroupSKU!$A:$A,0))),"-")</f>
        <v>-</v>
      </c>
      <c r="I26" s="10" t="str">
        <f t="array" ref="I26">IFERROR(IF(INDEX(T2_GroupSKU!$E:$E,MATCH(B26,T2_GroupSKU!$A:$A,0))="","-",INDEX(T2_GroupSKU!$E:$E,MATCH(B26,T2_GroupSKU!$A:$A,0))),"-")</f>
        <v>-</v>
      </c>
      <c r="J26" s="10" t="str">
        <f>T3_SKU!C26</f>
        <v>50mm / Mfl Logo</v>
      </c>
      <c r="K26" s="10" t="str">
        <f>T3_SKU!D26</f>
        <v>MS CAP SEAL PRINTED 50 MM (MFL LOGO)</v>
      </c>
      <c r="L26" s="10" t="str">
        <f>T3_SKU!E26</f>
        <v>NOS</v>
      </c>
      <c r="M26" s="10" t="str">
        <f>T3_SKU!F26</f>
        <v>83099030</v>
      </c>
    </row>
    <row r="27" ht="15.0" customHeight="1">
      <c r="A27" s="10" t="str">
        <f>T3_SKU!A27</f>
        <v>CAPSL-PR-V38</v>
      </c>
      <c r="B27" s="10" t="str">
        <f>T3_SKU!B27</f>
        <v>CAPSL-PR</v>
      </c>
      <c r="C27" s="10" t="str">
        <f t="array" ref="C27">IFERROR(INDEX(T2_GroupSKU!$B:$B,MATCH(B27,T2_GroupSKU!$A:$A,0)),"")</f>
        <v>Printed Cap Seal (Branded)</v>
      </c>
      <c r="D27" s="10" t="str">
        <f t="array" ref="D27">IFERROR(INDEX(T1_ProductType!$B:$B,MATCH(INDEX(T2_GroupSKU!$C:$C,MATCH(B27,T2_GroupSKU!$A:$A,0)),T1_ProductType!$A:$A,0)),"")</f>
        <v>Printed Cap Seal (Branded)</v>
      </c>
      <c r="E27" s="10" t="str">
        <f t="array" ref="E27">IFERROR(INDEX(T1_ProductType!$C:$C,MATCH(INDEX(T2_GroupSKU!$C:$C,MATCH(B27,T2_GroupSKU!$A:$A,0)),T1_ProductType!$A:$A,0)),"")</f>
        <v>Accessory</v>
      </c>
      <c r="F27" s="10" t="str">
        <f t="array" ref="F27">IFERROR(INDEX(T1_ProductType!$D:$D,MATCH(INDEX(T2_GroupSKU!$C:$C,MATCH(B27,T2_GroupSKU!$A:$A,0)),T1_ProductType!$A:$A,0)),"")</f>
        <v>Plastic Barrels</v>
      </c>
      <c r="G27" s="10" t="str">
        <f t="array" ref="G27">IFERROR(IF(INDEX(T1_ProductType!$E:$E,MATCH(INDEX(T2_GroupSKU!$C:$C,MATCH(B27,T2_GroupSKU!$A:$A,0)),T1_ProductType!$A:$A,0))="","-",INDEX(T1_ProductType!$E:$E,MATCH(INDEX(T2_GroupSKU!$C:$C,MATCH(B27,T2_GroupSKU!$A:$A,0)),T1_ProductType!$A:$A,0))),"-")</f>
        <v>-</v>
      </c>
      <c r="H27" s="10" t="str">
        <f t="array" ref="H27">IFERROR(IF(INDEX(T2_GroupSKU!$D:$D,MATCH(B27,T2_GroupSKU!$A:$A,0))="","-",INDEX(T2_GroupSKU!$D:$D,MATCH(B27,T2_GroupSKU!$A:$A,0))),"-")</f>
        <v>-</v>
      </c>
      <c r="I27" s="10" t="str">
        <f t="array" ref="I27">IFERROR(IF(INDEX(T2_GroupSKU!$E:$E,MATCH(B27,T2_GroupSKU!$A:$A,0))="","-",INDEX(T2_GroupSKU!$E:$E,MATCH(B27,T2_GroupSKU!$A:$A,0))),"-")</f>
        <v>-</v>
      </c>
      <c r="J27" s="10" t="str">
        <f>T3_SKU!C27</f>
        <v>50mm / Solenis Logo</v>
      </c>
      <c r="K27" s="10" t="str">
        <f>T3_SKU!D27</f>
        <v>MS CAP SEAL PRINTED 50 MM (SOLENIS LOGO)</v>
      </c>
      <c r="L27" s="10" t="str">
        <f>T3_SKU!E27</f>
        <v>NOS</v>
      </c>
      <c r="M27" s="10" t="str">
        <f>T3_SKU!F27</f>
        <v>83099030</v>
      </c>
    </row>
    <row r="28" ht="15.0" customHeight="1">
      <c r="A28" s="10" t="str">
        <f>T3_SKU!A28</f>
        <v>CAPSL-PR-V39</v>
      </c>
      <c r="B28" s="10" t="str">
        <f>T3_SKU!B28</f>
        <v>CAPSL-PR</v>
      </c>
      <c r="C28" s="10" t="str">
        <f t="array" ref="C28">IFERROR(INDEX(T2_GroupSKU!$B:$B,MATCH(B28,T2_GroupSKU!$A:$A,0)),"")</f>
        <v>Printed Cap Seal (Branded)</v>
      </c>
      <c r="D28" s="10" t="str">
        <f t="array" ref="D28">IFERROR(INDEX(T1_ProductType!$B:$B,MATCH(INDEX(T2_GroupSKU!$C:$C,MATCH(B28,T2_GroupSKU!$A:$A,0)),T1_ProductType!$A:$A,0)),"")</f>
        <v>Printed Cap Seal (Branded)</v>
      </c>
      <c r="E28" s="10" t="str">
        <f t="array" ref="E28">IFERROR(INDEX(T1_ProductType!$C:$C,MATCH(INDEX(T2_GroupSKU!$C:$C,MATCH(B28,T2_GroupSKU!$A:$A,0)),T1_ProductType!$A:$A,0)),"")</f>
        <v>Accessory</v>
      </c>
      <c r="F28" s="10" t="str">
        <f t="array" ref="F28">IFERROR(INDEX(T1_ProductType!$D:$D,MATCH(INDEX(T2_GroupSKU!$C:$C,MATCH(B28,T2_GroupSKU!$A:$A,0)),T1_ProductType!$A:$A,0)),"")</f>
        <v>Plastic Barrels</v>
      </c>
      <c r="G28" s="10" t="str">
        <f t="array" ref="G28">IFERROR(IF(INDEX(T1_ProductType!$E:$E,MATCH(INDEX(T2_GroupSKU!$C:$C,MATCH(B28,T2_GroupSKU!$A:$A,0)),T1_ProductType!$A:$A,0))="","-",INDEX(T1_ProductType!$E:$E,MATCH(INDEX(T2_GroupSKU!$C:$C,MATCH(B28,T2_GroupSKU!$A:$A,0)),T1_ProductType!$A:$A,0))),"-")</f>
        <v>-</v>
      </c>
      <c r="H28" s="10" t="str">
        <f t="array" ref="H28">IFERROR(IF(INDEX(T2_GroupSKU!$D:$D,MATCH(B28,T2_GroupSKU!$A:$A,0))="","-",INDEX(T2_GroupSKU!$D:$D,MATCH(B28,T2_GroupSKU!$A:$A,0))),"-")</f>
        <v>-</v>
      </c>
      <c r="I28" s="10" t="str">
        <f t="array" ref="I28">IFERROR(IF(INDEX(T2_GroupSKU!$E:$E,MATCH(B28,T2_GroupSKU!$A:$A,0))="","-",INDEX(T2_GroupSKU!$E:$E,MATCH(B28,T2_GroupSKU!$A:$A,0))),"-")</f>
        <v>-</v>
      </c>
      <c r="J28" s="10" t="str">
        <f>T3_SKU!C28</f>
        <v>50mm / Bios Logo</v>
      </c>
      <c r="K28" s="10" t="str">
        <f>T3_SKU!D28</f>
        <v>MS CAP SEAL PRINTED 50 MM (BIOS LOGO)</v>
      </c>
      <c r="L28" s="10" t="str">
        <f>T3_SKU!E28</f>
        <v>nos</v>
      </c>
      <c r="M28" s="10" t="str">
        <f>T3_SKU!F28</f>
        <v>39235010</v>
      </c>
    </row>
    <row r="29" ht="15.0" customHeight="1">
      <c r="A29" s="10" t="str">
        <f>T3_SKU!A29</f>
        <v>CAPSL-PR-V40</v>
      </c>
      <c r="B29" s="10" t="str">
        <f>T3_SKU!B29</f>
        <v>CAPSL-PR</v>
      </c>
      <c r="C29" s="10" t="str">
        <f t="array" ref="C29">IFERROR(INDEX(T2_GroupSKU!$B:$B,MATCH(B29,T2_GroupSKU!$A:$A,0)),"")</f>
        <v>Printed Cap Seal (Branded)</v>
      </c>
      <c r="D29" s="10" t="str">
        <f t="array" ref="D29">IFERROR(INDEX(T1_ProductType!$B:$B,MATCH(INDEX(T2_GroupSKU!$C:$C,MATCH(B29,T2_GroupSKU!$A:$A,0)),T1_ProductType!$A:$A,0)),"")</f>
        <v>Printed Cap Seal (Branded)</v>
      </c>
      <c r="E29" s="10" t="str">
        <f t="array" ref="E29">IFERROR(INDEX(T1_ProductType!$C:$C,MATCH(INDEX(T2_GroupSKU!$C:$C,MATCH(B29,T2_GroupSKU!$A:$A,0)),T1_ProductType!$A:$A,0)),"")</f>
        <v>Accessory</v>
      </c>
      <c r="F29" s="10" t="str">
        <f t="array" ref="F29">IFERROR(INDEX(T1_ProductType!$D:$D,MATCH(INDEX(T2_GroupSKU!$C:$C,MATCH(B29,T2_GroupSKU!$A:$A,0)),T1_ProductType!$A:$A,0)),"")</f>
        <v>Plastic Barrels</v>
      </c>
      <c r="G29" s="10" t="str">
        <f t="array" ref="G29">IFERROR(IF(INDEX(T1_ProductType!$E:$E,MATCH(INDEX(T2_GroupSKU!$C:$C,MATCH(B29,T2_GroupSKU!$A:$A,0)),T1_ProductType!$A:$A,0))="","-",INDEX(T1_ProductType!$E:$E,MATCH(INDEX(T2_GroupSKU!$C:$C,MATCH(B29,T2_GroupSKU!$A:$A,0)),T1_ProductType!$A:$A,0))),"-")</f>
        <v>-</v>
      </c>
      <c r="H29" s="10" t="str">
        <f t="array" ref="H29">IFERROR(IF(INDEX(T2_GroupSKU!$D:$D,MATCH(B29,T2_GroupSKU!$A:$A,0))="","-",INDEX(T2_GroupSKU!$D:$D,MATCH(B29,T2_GroupSKU!$A:$A,0))),"-")</f>
        <v>-</v>
      </c>
      <c r="I29" s="10" t="str">
        <f t="array" ref="I29">IFERROR(IF(INDEX(T2_GroupSKU!$E:$E,MATCH(B29,T2_GroupSKU!$A:$A,0))="","-",INDEX(T2_GroupSKU!$E:$E,MATCH(B29,T2_GroupSKU!$A:$A,0))),"-")</f>
        <v>-</v>
      </c>
      <c r="J29" s="10" t="str">
        <f>T3_SKU!C29</f>
        <v>50mm / Bios Crop Logo</v>
      </c>
      <c r="K29" s="10" t="str">
        <f>T3_SKU!D29</f>
        <v>MS CAP SEAL PRINTED 50 MM (BIOS CROP LOGO)</v>
      </c>
      <c r="L29" s="10" t="str">
        <f>T3_SKU!E29</f>
        <v>NOS</v>
      </c>
      <c r="M29" s="10" t="str">
        <f>T3_SKU!F29</f>
        <v>               </v>
      </c>
    </row>
    <row r="30" ht="15.0" customHeight="1">
      <c r="A30" s="10" t="str">
        <f>T3_SKU!A30</f>
        <v>CAPSL-PR-V49</v>
      </c>
      <c r="B30" s="10" t="str">
        <f>T3_SKU!B30</f>
        <v>CAPSL-PR</v>
      </c>
      <c r="C30" s="10" t="str">
        <f t="array" ref="C30">IFERROR(INDEX(T2_GroupSKU!$B:$B,MATCH(B30,T2_GroupSKU!$A:$A,0)),"")</f>
        <v>Printed Cap Seal (Branded)</v>
      </c>
      <c r="D30" s="10" t="str">
        <f t="array" ref="D30">IFERROR(INDEX(T1_ProductType!$B:$B,MATCH(INDEX(T2_GroupSKU!$C:$C,MATCH(B30,T2_GroupSKU!$A:$A,0)),T1_ProductType!$A:$A,0)),"")</f>
        <v>Printed Cap Seal (Branded)</v>
      </c>
      <c r="E30" s="10" t="str">
        <f t="array" ref="E30">IFERROR(INDEX(T1_ProductType!$C:$C,MATCH(INDEX(T2_GroupSKU!$C:$C,MATCH(B30,T2_GroupSKU!$A:$A,0)),T1_ProductType!$A:$A,0)),"")</f>
        <v>Accessory</v>
      </c>
      <c r="F30" s="10" t="str">
        <f t="array" ref="F30">IFERROR(INDEX(T1_ProductType!$D:$D,MATCH(INDEX(T2_GroupSKU!$C:$C,MATCH(B30,T2_GroupSKU!$A:$A,0)),T1_ProductType!$A:$A,0)),"")</f>
        <v>Plastic Barrels</v>
      </c>
      <c r="G30" s="10" t="str">
        <f t="array" ref="G30">IFERROR(IF(INDEX(T1_ProductType!$E:$E,MATCH(INDEX(T2_GroupSKU!$C:$C,MATCH(B30,T2_GroupSKU!$A:$A,0)),T1_ProductType!$A:$A,0))="","-",INDEX(T1_ProductType!$E:$E,MATCH(INDEX(T2_GroupSKU!$C:$C,MATCH(B30,T2_GroupSKU!$A:$A,0)),T1_ProductType!$A:$A,0))),"-")</f>
        <v>-</v>
      </c>
      <c r="H30" s="10" t="str">
        <f t="array" ref="H30">IFERROR(IF(INDEX(T2_GroupSKU!$D:$D,MATCH(B30,T2_GroupSKU!$A:$A,0))="","-",INDEX(T2_GroupSKU!$D:$D,MATCH(B30,T2_GroupSKU!$A:$A,0))),"-")</f>
        <v>-</v>
      </c>
      <c r="I30" s="10" t="str">
        <f t="array" ref="I30">IFERROR(IF(INDEX(T2_GroupSKU!$E:$E,MATCH(B30,T2_GroupSKU!$A:$A,0))="","-",INDEX(T2_GroupSKU!$E:$E,MATCH(B30,T2_GroupSKU!$A:$A,0))),"-")</f>
        <v>-</v>
      </c>
      <c r="J30" s="10" t="str">
        <f>T3_SKU!C30</f>
        <v>50mm / Galata Chemicals</v>
      </c>
      <c r="K30" s="10" t="str">
        <f>T3_SKU!D30</f>
        <v>MS CAP SEAL PRINTED 50 MM (GALATA CHEMICALS)</v>
      </c>
      <c r="L30" s="10" t="str">
        <f>T3_SKU!E30</f>
        <v>NOS</v>
      </c>
      <c r="M30" s="10" t="str">
        <f>T3_SKU!F30</f>
        <v>83099090</v>
      </c>
    </row>
    <row r="31" ht="15.0" customHeight="1">
      <c r="A31" s="10" t="str">
        <f>T3_SKU!A31</f>
        <v>CAPSL-PR-V50</v>
      </c>
      <c r="B31" s="10" t="str">
        <f>T3_SKU!B31</f>
        <v>CAPSL-PR</v>
      </c>
      <c r="C31" s="10" t="str">
        <f t="array" ref="C31">IFERROR(INDEX(T2_GroupSKU!$B:$B,MATCH(B31,T2_GroupSKU!$A:$A,0)),"")</f>
        <v>Printed Cap Seal (Branded)</v>
      </c>
      <c r="D31" s="10" t="str">
        <f t="array" ref="D31">IFERROR(INDEX(T1_ProductType!$B:$B,MATCH(INDEX(T2_GroupSKU!$C:$C,MATCH(B31,T2_GroupSKU!$A:$A,0)),T1_ProductType!$A:$A,0)),"")</f>
        <v>Printed Cap Seal (Branded)</v>
      </c>
      <c r="E31" s="10" t="str">
        <f t="array" ref="E31">IFERROR(INDEX(T1_ProductType!$C:$C,MATCH(INDEX(T2_GroupSKU!$C:$C,MATCH(B31,T2_GroupSKU!$A:$A,0)),T1_ProductType!$A:$A,0)),"")</f>
        <v>Accessory</v>
      </c>
      <c r="F31" s="10" t="str">
        <f t="array" ref="F31">IFERROR(INDEX(T1_ProductType!$D:$D,MATCH(INDEX(T2_GroupSKU!$C:$C,MATCH(B31,T2_GroupSKU!$A:$A,0)),T1_ProductType!$A:$A,0)),"")</f>
        <v>Plastic Barrels</v>
      </c>
      <c r="G31" s="10" t="str">
        <f t="array" ref="G31">IFERROR(IF(INDEX(T1_ProductType!$E:$E,MATCH(INDEX(T2_GroupSKU!$C:$C,MATCH(B31,T2_GroupSKU!$A:$A,0)),T1_ProductType!$A:$A,0))="","-",INDEX(T1_ProductType!$E:$E,MATCH(INDEX(T2_GroupSKU!$C:$C,MATCH(B31,T2_GroupSKU!$A:$A,0)),T1_ProductType!$A:$A,0))),"-")</f>
        <v>-</v>
      </c>
      <c r="H31" s="10" t="str">
        <f t="array" ref="H31">IFERROR(IF(INDEX(T2_GroupSKU!$D:$D,MATCH(B31,T2_GroupSKU!$A:$A,0))="","-",INDEX(T2_GroupSKU!$D:$D,MATCH(B31,T2_GroupSKU!$A:$A,0))),"-")</f>
        <v>-</v>
      </c>
      <c r="I31" s="10" t="str">
        <f t="array" ref="I31">IFERROR(IF(INDEX(T2_GroupSKU!$E:$E,MATCH(B31,T2_GroupSKU!$A:$A,0))="","-",INDEX(T2_GroupSKU!$E:$E,MATCH(B31,T2_GroupSKU!$A:$A,0))),"-")</f>
        <v>-</v>
      </c>
      <c r="J31" s="10" t="str">
        <f>T3_SKU!C31</f>
        <v>50mm / Seal For Protection Logo</v>
      </c>
      <c r="K31" s="10" t="str">
        <f>T3_SKU!D31</f>
        <v>MS CAP SEAL PRINTED 50 MM (SEAL FOR PROTECTION LOGO)</v>
      </c>
      <c r="L31" s="10" t="str">
        <f>T3_SKU!E31</f>
        <v>NOS</v>
      </c>
      <c r="M31" s="10" t="str">
        <f>T3_SKU!F31</f>
        <v>83099030</v>
      </c>
    </row>
    <row r="32" ht="15.0" customHeight="1">
      <c r="A32" s="10" t="str">
        <f>T3_SKU!A32</f>
        <v>CAPSL-PR-V51</v>
      </c>
      <c r="B32" s="10" t="str">
        <f>T3_SKU!B32</f>
        <v>CAPSL-PR</v>
      </c>
      <c r="C32" s="10" t="str">
        <f t="array" ref="C32">IFERROR(INDEX(T2_GroupSKU!$B:$B,MATCH(B32,T2_GroupSKU!$A:$A,0)),"")</f>
        <v>Printed Cap Seal (Branded)</v>
      </c>
      <c r="D32" s="10" t="str">
        <f t="array" ref="D32">IFERROR(INDEX(T1_ProductType!$B:$B,MATCH(INDEX(T2_GroupSKU!$C:$C,MATCH(B32,T2_GroupSKU!$A:$A,0)),T1_ProductType!$A:$A,0)),"")</f>
        <v>Printed Cap Seal (Branded)</v>
      </c>
      <c r="E32" s="10" t="str">
        <f t="array" ref="E32">IFERROR(INDEX(T1_ProductType!$C:$C,MATCH(INDEX(T2_GroupSKU!$C:$C,MATCH(B32,T2_GroupSKU!$A:$A,0)),T1_ProductType!$A:$A,0)),"")</f>
        <v>Accessory</v>
      </c>
      <c r="F32" s="10" t="str">
        <f t="array" ref="F32">IFERROR(INDEX(T1_ProductType!$D:$D,MATCH(INDEX(T2_GroupSKU!$C:$C,MATCH(B32,T2_GroupSKU!$A:$A,0)),T1_ProductType!$A:$A,0)),"")</f>
        <v>Plastic Barrels</v>
      </c>
      <c r="G32" s="10" t="str">
        <f t="array" ref="G32">IFERROR(IF(INDEX(T1_ProductType!$E:$E,MATCH(INDEX(T2_GroupSKU!$C:$C,MATCH(B32,T2_GroupSKU!$A:$A,0)),T1_ProductType!$A:$A,0))="","-",INDEX(T1_ProductType!$E:$E,MATCH(INDEX(T2_GroupSKU!$C:$C,MATCH(B32,T2_GroupSKU!$A:$A,0)),T1_ProductType!$A:$A,0))),"-")</f>
        <v>-</v>
      </c>
      <c r="H32" s="10" t="str">
        <f t="array" ref="H32">IFERROR(IF(INDEX(T2_GroupSKU!$D:$D,MATCH(B32,T2_GroupSKU!$A:$A,0))="","-",INDEX(T2_GroupSKU!$D:$D,MATCH(B32,T2_GroupSKU!$A:$A,0))),"-")</f>
        <v>-</v>
      </c>
      <c r="I32" s="10" t="str">
        <f t="array" ref="I32">IFERROR(IF(INDEX(T2_GroupSKU!$E:$E,MATCH(B32,T2_GroupSKU!$A:$A,0))="","-",INDEX(T2_GroupSKU!$E:$E,MATCH(B32,T2_GroupSKU!$A:$A,0))),"-")</f>
        <v>-</v>
      </c>
      <c r="J32" s="10" t="str">
        <f>T3_SKU!C32</f>
        <v>50mm / Supreme Logo</v>
      </c>
      <c r="K32" s="10" t="str">
        <f>T3_SKU!D32</f>
        <v>MS CAP SEAL PRINTED 50 MM (SUPREME LOGO)</v>
      </c>
      <c r="L32" s="10" t="str">
        <f>T3_SKU!E32</f>
        <v>NOS</v>
      </c>
      <c r="M32" s="10" t="str">
        <f>T3_SKU!F32</f>
        <v>83099030</v>
      </c>
    </row>
    <row r="33" ht="15.0" customHeight="1">
      <c r="A33" s="10" t="str">
        <f>T3_SKU!A33</f>
        <v>CAPSL-PR-V52</v>
      </c>
      <c r="B33" s="10" t="str">
        <f>T3_SKU!B33</f>
        <v>CAPSL-PR</v>
      </c>
      <c r="C33" s="10" t="str">
        <f t="array" ref="C33">IFERROR(INDEX(T2_GroupSKU!$B:$B,MATCH(B33,T2_GroupSKU!$A:$A,0)),"")</f>
        <v>Printed Cap Seal (Branded)</v>
      </c>
      <c r="D33" s="10" t="str">
        <f t="array" ref="D33">IFERROR(INDEX(T1_ProductType!$B:$B,MATCH(INDEX(T2_GroupSKU!$C:$C,MATCH(B33,T2_GroupSKU!$A:$A,0)),T1_ProductType!$A:$A,0)),"")</f>
        <v>Printed Cap Seal (Branded)</v>
      </c>
      <c r="E33" s="10" t="str">
        <f t="array" ref="E33">IFERROR(INDEX(T1_ProductType!$C:$C,MATCH(INDEX(T2_GroupSKU!$C:$C,MATCH(B33,T2_GroupSKU!$A:$A,0)),T1_ProductType!$A:$A,0)),"")</f>
        <v>Accessory</v>
      </c>
      <c r="F33" s="10" t="str">
        <f t="array" ref="F33">IFERROR(INDEX(T1_ProductType!$D:$D,MATCH(INDEX(T2_GroupSKU!$C:$C,MATCH(B33,T2_GroupSKU!$A:$A,0)),T1_ProductType!$A:$A,0)),"")</f>
        <v>Plastic Barrels</v>
      </c>
      <c r="G33" s="10" t="str">
        <f t="array" ref="G33">IFERROR(IF(INDEX(T1_ProductType!$E:$E,MATCH(INDEX(T2_GroupSKU!$C:$C,MATCH(B33,T2_GroupSKU!$A:$A,0)),T1_ProductType!$A:$A,0))="","-",INDEX(T1_ProductType!$E:$E,MATCH(INDEX(T2_GroupSKU!$C:$C,MATCH(B33,T2_GroupSKU!$A:$A,0)),T1_ProductType!$A:$A,0))),"-")</f>
        <v>-</v>
      </c>
      <c r="H33" s="10" t="str">
        <f t="array" ref="H33">IFERROR(IF(INDEX(T2_GroupSKU!$D:$D,MATCH(B33,T2_GroupSKU!$A:$A,0))="","-",INDEX(T2_GroupSKU!$D:$D,MATCH(B33,T2_GroupSKU!$A:$A,0))),"-")</f>
        <v>-</v>
      </c>
      <c r="I33" s="10" t="str">
        <f t="array" ref="I33">IFERROR(IF(INDEX(T2_GroupSKU!$E:$E,MATCH(B33,T2_GroupSKU!$A:$A,0))="","-",INDEX(T2_GroupSKU!$E:$E,MATCH(B33,T2_GroupSKU!$A:$A,0))),"-")</f>
        <v>-</v>
      </c>
      <c r="J33" s="10" t="str">
        <f>T3_SKU!C33</f>
        <v>50mm / Viswaat Logo</v>
      </c>
      <c r="K33" s="10" t="str">
        <f>T3_SKU!D33</f>
        <v>MS CAP SEAL PRINTED 50 MM (VISWAAT LOGO)</v>
      </c>
      <c r="L33" s="10" t="str">
        <f>T3_SKU!E33</f>
        <v>NOS</v>
      </c>
      <c r="M33" s="10" t="str">
        <f>T3_SKU!F33</f>
        <v>83099030</v>
      </c>
    </row>
    <row r="34" ht="15.0" customHeight="1">
      <c r="A34" s="10" t="str">
        <f>T3_SKU!A34</f>
        <v>CAPSL-PR-V53</v>
      </c>
      <c r="B34" s="10" t="str">
        <f>T3_SKU!B34</f>
        <v>CAPSL-PR</v>
      </c>
      <c r="C34" s="10" t="str">
        <f t="array" ref="C34">IFERROR(INDEX(T2_GroupSKU!$B:$B,MATCH(B34,T2_GroupSKU!$A:$A,0)),"")</f>
        <v>Printed Cap Seal (Branded)</v>
      </c>
      <c r="D34" s="10" t="str">
        <f t="array" ref="D34">IFERROR(INDEX(T1_ProductType!$B:$B,MATCH(INDEX(T2_GroupSKU!$C:$C,MATCH(B34,T2_GroupSKU!$A:$A,0)),T1_ProductType!$A:$A,0)),"")</f>
        <v>Printed Cap Seal (Branded)</v>
      </c>
      <c r="E34" s="10" t="str">
        <f t="array" ref="E34">IFERROR(INDEX(T1_ProductType!$C:$C,MATCH(INDEX(T2_GroupSKU!$C:$C,MATCH(B34,T2_GroupSKU!$A:$A,0)),T1_ProductType!$A:$A,0)),"")</f>
        <v>Accessory</v>
      </c>
      <c r="F34" s="10" t="str">
        <f t="array" ref="F34">IFERROR(INDEX(T1_ProductType!$D:$D,MATCH(INDEX(T2_GroupSKU!$C:$C,MATCH(B34,T2_GroupSKU!$A:$A,0)),T1_ProductType!$A:$A,0)),"")</f>
        <v>Plastic Barrels</v>
      </c>
      <c r="G34" s="10" t="str">
        <f t="array" ref="G34">IFERROR(IF(INDEX(T1_ProductType!$E:$E,MATCH(INDEX(T2_GroupSKU!$C:$C,MATCH(B34,T2_GroupSKU!$A:$A,0)),T1_ProductType!$A:$A,0))="","-",INDEX(T1_ProductType!$E:$E,MATCH(INDEX(T2_GroupSKU!$C:$C,MATCH(B34,T2_GroupSKU!$A:$A,0)),T1_ProductType!$A:$A,0))),"-")</f>
        <v>-</v>
      </c>
      <c r="H34" s="10" t="str">
        <f t="array" ref="H34">IFERROR(IF(INDEX(T2_GroupSKU!$D:$D,MATCH(B34,T2_GroupSKU!$A:$A,0))="","-",INDEX(T2_GroupSKU!$D:$D,MATCH(B34,T2_GroupSKU!$A:$A,0))),"-")</f>
        <v>-</v>
      </c>
      <c r="I34" s="10" t="str">
        <f t="array" ref="I34">IFERROR(IF(INDEX(T2_GroupSKU!$E:$E,MATCH(B34,T2_GroupSKU!$A:$A,0))="","-",INDEX(T2_GroupSKU!$E:$E,MATCH(B34,T2_GroupSKU!$A:$A,0))),"-")</f>
        <v>-</v>
      </c>
      <c r="J34" s="10" t="str">
        <f>T3_SKU!C34</f>
        <v>50mm / Hsc Logo</v>
      </c>
      <c r="K34" s="10" t="str">
        <f>T3_SKU!D34</f>
        <v>MS CAP SEAL PRINTED 50 MM (HSC LOGO)</v>
      </c>
      <c r="L34" s="10" t="str">
        <f>T3_SKU!E34</f>
        <v>NOS</v>
      </c>
      <c r="M34" s="10" t="str">
        <f>T3_SKU!F34</f>
        <v>83099030</v>
      </c>
    </row>
    <row r="35" ht="15.0" customHeight="1">
      <c r="A35" s="10" t="str">
        <f>T3_SKU!A35</f>
        <v>CAPSL-PR-V54</v>
      </c>
      <c r="B35" s="10" t="str">
        <f>T3_SKU!B35</f>
        <v>CAPSL-PR</v>
      </c>
      <c r="C35" s="10" t="str">
        <f t="array" ref="C35">IFERROR(INDEX(T2_GroupSKU!$B:$B,MATCH(B35,T2_GroupSKU!$A:$A,0)),"")</f>
        <v>Printed Cap Seal (Branded)</v>
      </c>
      <c r="D35" s="10" t="str">
        <f t="array" ref="D35">IFERROR(INDEX(T1_ProductType!$B:$B,MATCH(INDEX(T2_GroupSKU!$C:$C,MATCH(B35,T2_GroupSKU!$A:$A,0)),T1_ProductType!$A:$A,0)),"")</f>
        <v>Printed Cap Seal (Branded)</v>
      </c>
      <c r="E35" s="10" t="str">
        <f t="array" ref="E35">IFERROR(INDEX(T1_ProductType!$C:$C,MATCH(INDEX(T2_GroupSKU!$C:$C,MATCH(B35,T2_GroupSKU!$A:$A,0)),T1_ProductType!$A:$A,0)),"")</f>
        <v>Accessory</v>
      </c>
      <c r="F35" s="10" t="str">
        <f t="array" ref="F35">IFERROR(INDEX(T1_ProductType!$D:$D,MATCH(INDEX(T2_GroupSKU!$C:$C,MATCH(B35,T2_GroupSKU!$A:$A,0)),T1_ProductType!$A:$A,0)),"")</f>
        <v>Plastic Barrels</v>
      </c>
      <c r="G35" s="10" t="str">
        <f t="array" ref="G35">IFERROR(IF(INDEX(T1_ProductType!$E:$E,MATCH(INDEX(T2_GroupSKU!$C:$C,MATCH(B35,T2_GroupSKU!$A:$A,0)),T1_ProductType!$A:$A,0))="","-",INDEX(T1_ProductType!$E:$E,MATCH(INDEX(T2_GroupSKU!$C:$C,MATCH(B35,T2_GroupSKU!$A:$A,0)),T1_ProductType!$A:$A,0))),"-")</f>
        <v>-</v>
      </c>
      <c r="H35" s="10" t="str">
        <f t="array" ref="H35">IFERROR(IF(INDEX(T2_GroupSKU!$D:$D,MATCH(B35,T2_GroupSKU!$A:$A,0))="","-",INDEX(T2_GroupSKU!$D:$D,MATCH(B35,T2_GroupSKU!$A:$A,0))),"-")</f>
        <v>-</v>
      </c>
      <c r="I35" s="10" t="str">
        <f t="array" ref="I35">IFERROR(IF(INDEX(T2_GroupSKU!$E:$E,MATCH(B35,T2_GroupSKU!$A:$A,0))="","-",INDEX(T2_GroupSKU!$E:$E,MATCH(B35,T2_GroupSKU!$A:$A,0))),"-")</f>
        <v>-</v>
      </c>
      <c r="J35" s="10" t="str">
        <f>T3_SKU!C35</f>
        <v>50mm / Unitop Logo</v>
      </c>
      <c r="K35" s="10" t="str">
        <f>T3_SKU!D35</f>
        <v>MS CAP SEAL PRINTED 50 MM (UNITOP LOGO)</v>
      </c>
      <c r="L35" s="10" t="str">
        <f>T3_SKU!E35</f>
        <v>NOS</v>
      </c>
      <c r="M35" s="10" t="str">
        <f>T3_SKU!F35</f>
        <v>83099030</v>
      </c>
    </row>
    <row r="36" ht="15.0" customHeight="1">
      <c r="A36" s="10" t="str">
        <f>T3_SKU!A36</f>
        <v>CAPSL-PR-V55</v>
      </c>
      <c r="B36" s="10" t="str">
        <f>T3_SKU!B36</f>
        <v>CAPSL-PR</v>
      </c>
      <c r="C36" s="10" t="str">
        <f t="array" ref="C36">IFERROR(INDEX(T2_GroupSKU!$B:$B,MATCH(B36,T2_GroupSKU!$A:$A,0)),"")</f>
        <v>Printed Cap Seal (Branded)</v>
      </c>
      <c r="D36" s="10" t="str">
        <f t="array" ref="D36">IFERROR(INDEX(T1_ProductType!$B:$B,MATCH(INDEX(T2_GroupSKU!$C:$C,MATCH(B36,T2_GroupSKU!$A:$A,0)),T1_ProductType!$A:$A,0)),"")</f>
        <v>Printed Cap Seal (Branded)</v>
      </c>
      <c r="E36" s="10" t="str">
        <f t="array" ref="E36">IFERROR(INDEX(T1_ProductType!$C:$C,MATCH(INDEX(T2_GroupSKU!$C:$C,MATCH(B36,T2_GroupSKU!$A:$A,0)),T1_ProductType!$A:$A,0)),"")</f>
        <v>Accessory</v>
      </c>
      <c r="F36" s="10" t="str">
        <f t="array" ref="F36">IFERROR(INDEX(T1_ProductType!$D:$D,MATCH(INDEX(T2_GroupSKU!$C:$C,MATCH(B36,T2_GroupSKU!$A:$A,0)),T1_ProductType!$A:$A,0)),"")</f>
        <v>Plastic Barrels</v>
      </c>
      <c r="G36" s="10" t="str">
        <f t="array" ref="G36">IFERROR(IF(INDEX(T1_ProductType!$E:$E,MATCH(INDEX(T2_GroupSKU!$C:$C,MATCH(B36,T2_GroupSKU!$A:$A,0)),T1_ProductType!$A:$A,0))="","-",INDEX(T1_ProductType!$E:$E,MATCH(INDEX(T2_GroupSKU!$C:$C,MATCH(B36,T2_GroupSKU!$A:$A,0)),T1_ProductType!$A:$A,0))),"-")</f>
        <v>-</v>
      </c>
      <c r="H36" s="10" t="str">
        <f t="array" ref="H36">IFERROR(IF(INDEX(T2_GroupSKU!$D:$D,MATCH(B36,T2_GroupSKU!$A:$A,0))="","-",INDEX(T2_GroupSKU!$D:$D,MATCH(B36,T2_GroupSKU!$A:$A,0))),"-")</f>
        <v>-</v>
      </c>
      <c r="I36" s="10" t="str">
        <f t="array" ref="I36">IFERROR(IF(INDEX(T2_GroupSKU!$E:$E,MATCH(B36,T2_GroupSKU!$A:$A,0))="","-",INDEX(T2_GroupSKU!$E:$E,MATCH(B36,T2_GroupSKU!$A:$A,0))),"-")</f>
        <v>-</v>
      </c>
      <c r="J36" s="10" t="str">
        <f>T3_SKU!C36</f>
        <v>50mm / Apl Logo</v>
      </c>
      <c r="K36" s="10" t="str">
        <f>T3_SKU!D36</f>
        <v>MS CAP SEAL PRINTED 50 MM (APL LOGO)</v>
      </c>
      <c r="L36" s="10" t="str">
        <f>T3_SKU!E36</f>
        <v>NOS</v>
      </c>
      <c r="M36" s="10" t="str">
        <f>T3_SKU!F36</f>
        <v>83099030</v>
      </c>
    </row>
    <row r="37" ht="15.0" customHeight="1">
      <c r="A37" s="10" t="str">
        <f>T3_SKU!A37</f>
        <v>CAPSL-PR-V56</v>
      </c>
      <c r="B37" s="10" t="str">
        <f>T3_SKU!B37</f>
        <v>CAPSL-PR</v>
      </c>
      <c r="C37" s="10" t="str">
        <f t="array" ref="C37">IFERROR(INDEX(T2_GroupSKU!$B:$B,MATCH(B37,T2_GroupSKU!$A:$A,0)),"")</f>
        <v>Printed Cap Seal (Branded)</v>
      </c>
      <c r="D37" s="10" t="str">
        <f t="array" ref="D37">IFERROR(INDEX(T1_ProductType!$B:$B,MATCH(INDEX(T2_GroupSKU!$C:$C,MATCH(B37,T2_GroupSKU!$A:$A,0)),T1_ProductType!$A:$A,0)),"")</f>
        <v>Printed Cap Seal (Branded)</v>
      </c>
      <c r="E37" s="10" t="str">
        <f t="array" ref="E37">IFERROR(INDEX(T1_ProductType!$C:$C,MATCH(INDEX(T2_GroupSKU!$C:$C,MATCH(B37,T2_GroupSKU!$A:$A,0)),T1_ProductType!$A:$A,0)),"")</f>
        <v>Accessory</v>
      </c>
      <c r="F37" s="10" t="str">
        <f t="array" ref="F37">IFERROR(INDEX(T1_ProductType!$D:$D,MATCH(INDEX(T2_GroupSKU!$C:$C,MATCH(B37,T2_GroupSKU!$A:$A,0)),T1_ProductType!$A:$A,0)),"")</f>
        <v>Plastic Barrels</v>
      </c>
      <c r="G37" s="10" t="str">
        <f t="array" ref="G37">IFERROR(IF(INDEX(T1_ProductType!$E:$E,MATCH(INDEX(T2_GroupSKU!$C:$C,MATCH(B37,T2_GroupSKU!$A:$A,0)),T1_ProductType!$A:$A,0))="","-",INDEX(T1_ProductType!$E:$E,MATCH(INDEX(T2_GroupSKU!$C:$C,MATCH(B37,T2_GroupSKU!$A:$A,0)),T1_ProductType!$A:$A,0))),"-")</f>
        <v>-</v>
      </c>
      <c r="H37" s="10" t="str">
        <f t="array" ref="H37">IFERROR(IF(INDEX(T2_GroupSKU!$D:$D,MATCH(B37,T2_GroupSKU!$A:$A,0))="","-",INDEX(T2_GroupSKU!$D:$D,MATCH(B37,T2_GroupSKU!$A:$A,0))),"-")</f>
        <v>-</v>
      </c>
      <c r="I37" s="10" t="str">
        <f t="array" ref="I37">IFERROR(IF(INDEX(T2_GroupSKU!$E:$E,MATCH(B37,T2_GroupSKU!$A:$A,0))="","-",INDEX(T2_GroupSKU!$E:$E,MATCH(B37,T2_GroupSKU!$A:$A,0))),"-")</f>
        <v>-</v>
      </c>
      <c r="J37" s="10" t="str">
        <f>T3_SKU!C37</f>
        <v>50mm / Indofil Industries Ltd</v>
      </c>
      <c r="K37" s="10" t="str">
        <f>T3_SKU!D37</f>
        <v>MS CAP SEAL PRINTED 50 MM (INDOFIL INDUSTRIES LTD)</v>
      </c>
      <c r="L37" s="10" t="str">
        <f>T3_SKU!E37</f>
        <v>NOS</v>
      </c>
      <c r="M37" s="10" t="str">
        <f>T3_SKU!F37</f>
        <v>83099030</v>
      </c>
    </row>
    <row r="38" ht="15.0" customHeight="1">
      <c r="A38" s="10" t="str">
        <f>T3_SKU!A38</f>
        <v>CAPSL-PR-V57</v>
      </c>
      <c r="B38" s="10" t="str">
        <f>T3_SKU!B38</f>
        <v>CAPSL-PR</v>
      </c>
      <c r="C38" s="10" t="str">
        <f t="array" ref="C38">IFERROR(INDEX(T2_GroupSKU!$B:$B,MATCH(B38,T2_GroupSKU!$A:$A,0)),"")</f>
        <v>Printed Cap Seal (Branded)</v>
      </c>
      <c r="D38" s="10" t="str">
        <f t="array" ref="D38">IFERROR(INDEX(T1_ProductType!$B:$B,MATCH(INDEX(T2_GroupSKU!$C:$C,MATCH(B38,T2_GroupSKU!$A:$A,0)),T1_ProductType!$A:$A,0)),"")</f>
        <v>Printed Cap Seal (Branded)</v>
      </c>
      <c r="E38" s="10" t="str">
        <f t="array" ref="E38">IFERROR(INDEX(T1_ProductType!$C:$C,MATCH(INDEX(T2_GroupSKU!$C:$C,MATCH(B38,T2_GroupSKU!$A:$A,0)),T1_ProductType!$A:$A,0)),"")</f>
        <v>Accessory</v>
      </c>
      <c r="F38" s="10" t="str">
        <f t="array" ref="F38">IFERROR(INDEX(T1_ProductType!$D:$D,MATCH(INDEX(T2_GroupSKU!$C:$C,MATCH(B38,T2_GroupSKU!$A:$A,0)),T1_ProductType!$A:$A,0)),"")</f>
        <v>Plastic Barrels</v>
      </c>
      <c r="G38" s="10" t="str">
        <f t="array" ref="G38">IFERROR(IF(INDEX(T1_ProductType!$E:$E,MATCH(INDEX(T2_GroupSKU!$C:$C,MATCH(B38,T2_GroupSKU!$A:$A,0)),T1_ProductType!$A:$A,0))="","-",INDEX(T1_ProductType!$E:$E,MATCH(INDEX(T2_GroupSKU!$C:$C,MATCH(B38,T2_GroupSKU!$A:$A,0)),T1_ProductType!$A:$A,0))),"-")</f>
        <v>-</v>
      </c>
      <c r="H38" s="10" t="str">
        <f t="array" ref="H38">IFERROR(IF(INDEX(T2_GroupSKU!$D:$D,MATCH(B38,T2_GroupSKU!$A:$A,0))="","-",INDEX(T2_GroupSKU!$D:$D,MATCH(B38,T2_GroupSKU!$A:$A,0))),"-")</f>
        <v>-</v>
      </c>
      <c r="I38" s="10" t="str">
        <f t="array" ref="I38">IFERROR(IF(INDEX(T2_GroupSKU!$E:$E,MATCH(B38,T2_GroupSKU!$A:$A,0))="","-",INDEX(T2_GroupSKU!$E:$E,MATCH(B38,T2_GroupSKU!$A:$A,0))),"-")</f>
        <v>-</v>
      </c>
      <c r="J38" s="10" t="str">
        <f>T3_SKU!C38</f>
        <v>50mm / Vr Petrochem Llp</v>
      </c>
      <c r="K38" s="10" t="str">
        <f>T3_SKU!D38</f>
        <v>MS CAP SEAL PRINTED 50 MM (VR PETROCHEM LLP)</v>
      </c>
      <c r="L38" s="10" t="str">
        <f>T3_SKU!E38</f>
        <v>NOS</v>
      </c>
      <c r="M38" s="10" t="str">
        <f>T3_SKU!F38</f>
        <v>83099030</v>
      </c>
    </row>
    <row r="39" ht="15.0" customHeight="1">
      <c r="A39" s="10" t="str">
        <f>T3_SKU!A39</f>
        <v>CAPSL-PR-V59</v>
      </c>
      <c r="B39" s="10" t="str">
        <f>T3_SKU!B39</f>
        <v>CAPSL-PR</v>
      </c>
      <c r="C39" s="10" t="str">
        <f t="array" ref="C39">IFERROR(INDEX(T2_GroupSKU!$B:$B,MATCH(B39,T2_GroupSKU!$A:$A,0)),"")</f>
        <v>Printed Cap Seal (Branded)</v>
      </c>
      <c r="D39" s="10" t="str">
        <f t="array" ref="D39">IFERROR(INDEX(T1_ProductType!$B:$B,MATCH(INDEX(T2_GroupSKU!$C:$C,MATCH(B39,T2_GroupSKU!$A:$A,0)),T1_ProductType!$A:$A,0)),"")</f>
        <v>Printed Cap Seal (Branded)</v>
      </c>
      <c r="E39" s="10" t="str">
        <f t="array" ref="E39">IFERROR(INDEX(T1_ProductType!$C:$C,MATCH(INDEX(T2_GroupSKU!$C:$C,MATCH(B39,T2_GroupSKU!$A:$A,0)),T1_ProductType!$A:$A,0)),"")</f>
        <v>Accessory</v>
      </c>
      <c r="F39" s="10" t="str">
        <f t="array" ref="F39">IFERROR(INDEX(T1_ProductType!$D:$D,MATCH(INDEX(T2_GroupSKU!$C:$C,MATCH(B39,T2_GroupSKU!$A:$A,0)),T1_ProductType!$A:$A,0)),"")</f>
        <v>Plastic Barrels</v>
      </c>
      <c r="G39" s="10" t="str">
        <f t="array" ref="G39">IFERROR(IF(INDEX(T1_ProductType!$E:$E,MATCH(INDEX(T2_GroupSKU!$C:$C,MATCH(B39,T2_GroupSKU!$A:$A,0)),T1_ProductType!$A:$A,0))="","-",INDEX(T1_ProductType!$E:$E,MATCH(INDEX(T2_GroupSKU!$C:$C,MATCH(B39,T2_GroupSKU!$A:$A,0)),T1_ProductType!$A:$A,0))),"-")</f>
        <v>-</v>
      </c>
      <c r="H39" s="10" t="str">
        <f t="array" ref="H39">IFERROR(IF(INDEX(T2_GroupSKU!$D:$D,MATCH(B39,T2_GroupSKU!$A:$A,0))="","-",INDEX(T2_GroupSKU!$D:$D,MATCH(B39,T2_GroupSKU!$A:$A,0))),"-")</f>
        <v>-</v>
      </c>
      <c r="I39" s="10" t="str">
        <f t="array" ref="I39">IFERROR(IF(INDEX(T2_GroupSKU!$E:$E,MATCH(B39,T2_GroupSKU!$A:$A,0))="","-",INDEX(T2_GroupSKU!$E:$E,MATCH(B39,T2_GroupSKU!$A:$A,0))),"-")</f>
        <v>-</v>
      </c>
      <c r="J39" s="10" t="str">
        <f>T3_SKU!C39</f>
        <v>50mm / Deepak Logo</v>
      </c>
      <c r="K39" s="10" t="str">
        <f>T3_SKU!D39</f>
        <v>MS CAP SEAL PRINTED 50 MM (DEEPAK LOGO)</v>
      </c>
      <c r="L39" s="10" t="str">
        <f>T3_SKU!E39</f>
        <v>NOS</v>
      </c>
      <c r="M39" s="10" t="str">
        <f>T3_SKU!F39</f>
        <v>               </v>
      </c>
    </row>
    <row r="40" ht="15.0" customHeight="1">
      <c r="A40" s="10" t="str">
        <f>T3_SKU!A40</f>
        <v>CAPSL-PR-V60</v>
      </c>
      <c r="B40" s="10" t="str">
        <f>T3_SKU!B40</f>
        <v>CAPSL-PR</v>
      </c>
      <c r="C40" s="10" t="str">
        <f t="array" ref="C40">IFERROR(INDEX(T2_GroupSKU!$B:$B,MATCH(B40,T2_GroupSKU!$A:$A,0)),"")</f>
        <v>Printed Cap Seal (Branded)</v>
      </c>
      <c r="D40" s="10" t="str">
        <f t="array" ref="D40">IFERROR(INDEX(T1_ProductType!$B:$B,MATCH(INDEX(T2_GroupSKU!$C:$C,MATCH(B40,T2_GroupSKU!$A:$A,0)),T1_ProductType!$A:$A,0)),"")</f>
        <v>Printed Cap Seal (Branded)</v>
      </c>
      <c r="E40" s="10" t="str">
        <f t="array" ref="E40">IFERROR(INDEX(T1_ProductType!$C:$C,MATCH(INDEX(T2_GroupSKU!$C:$C,MATCH(B40,T2_GroupSKU!$A:$A,0)),T1_ProductType!$A:$A,0)),"")</f>
        <v>Accessory</v>
      </c>
      <c r="F40" s="10" t="str">
        <f t="array" ref="F40">IFERROR(INDEX(T1_ProductType!$D:$D,MATCH(INDEX(T2_GroupSKU!$C:$C,MATCH(B40,T2_GroupSKU!$A:$A,0)),T1_ProductType!$A:$A,0)),"")</f>
        <v>Plastic Barrels</v>
      </c>
      <c r="G40" s="10" t="str">
        <f t="array" ref="G40">IFERROR(IF(INDEX(T1_ProductType!$E:$E,MATCH(INDEX(T2_GroupSKU!$C:$C,MATCH(B40,T2_GroupSKU!$A:$A,0)),T1_ProductType!$A:$A,0))="","-",INDEX(T1_ProductType!$E:$E,MATCH(INDEX(T2_GroupSKU!$C:$C,MATCH(B40,T2_GroupSKU!$A:$A,0)),T1_ProductType!$A:$A,0))),"-")</f>
        <v>-</v>
      </c>
      <c r="H40" s="10" t="str">
        <f t="array" ref="H40">IFERROR(IF(INDEX(T2_GroupSKU!$D:$D,MATCH(B40,T2_GroupSKU!$A:$A,0))="","-",INDEX(T2_GroupSKU!$D:$D,MATCH(B40,T2_GroupSKU!$A:$A,0))),"-")</f>
        <v>-</v>
      </c>
      <c r="I40" s="10" t="str">
        <f t="array" ref="I40">IFERROR(IF(INDEX(T2_GroupSKU!$E:$E,MATCH(B40,T2_GroupSKU!$A:$A,0))="","-",INDEX(T2_GroupSKU!$E:$E,MATCH(B40,T2_GroupSKU!$A:$A,0))),"-")</f>
        <v>-</v>
      </c>
      <c r="J40" s="10" t="str">
        <f>T3_SKU!C40</f>
        <v>50mm / Gacl Logo</v>
      </c>
      <c r="K40" s="10" t="str">
        <f>T3_SKU!D40</f>
        <v>MS CAP SEAL PRINTED 50 MM (GACL LOGO)</v>
      </c>
      <c r="L40" s="10" t="str">
        <f>T3_SKU!E40</f>
        <v>NOS</v>
      </c>
      <c r="M40" s="10" t="str">
        <f>T3_SKU!F40</f>
        <v>83099030</v>
      </c>
    </row>
    <row r="41" ht="15.0" customHeight="1">
      <c r="A41" s="10" t="str">
        <f>T3_SKU!A41</f>
        <v>CAPSL-PR-V61</v>
      </c>
      <c r="B41" s="10" t="str">
        <f>T3_SKU!B41</f>
        <v>CAPSL-PR</v>
      </c>
      <c r="C41" s="10" t="str">
        <f t="array" ref="C41">IFERROR(INDEX(T2_GroupSKU!$B:$B,MATCH(B41,T2_GroupSKU!$A:$A,0)),"")</f>
        <v>Printed Cap Seal (Branded)</v>
      </c>
      <c r="D41" s="10" t="str">
        <f t="array" ref="D41">IFERROR(INDEX(T1_ProductType!$B:$B,MATCH(INDEX(T2_GroupSKU!$C:$C,MATCH(B41,T2_GroupSKU!$A:$A,0)),T1_ProductType!$A:$A,0)),"")</f>
        <v>Printed Cap Seal (Branded)</v>
      </c>
      <c r="E41" s="10" t="str">
        <f t="array" ref="E41">IFERROR(INDEX(T1_ProductType!$C:$C,MATCH(INDEX(T2_GroupSKU!$C:$C,MATCH(B41,T2_GroupSKU!$A:$A,0)),T1_ProductType!$A:$A,0)),"")</f>
        <v>Accessory</v>
      </c>
      <c r="F41" s="10" t="str">
        <f t="array" ref="F41">IFERROR(INDEX(T1_ProductType!$D:$D,MATCH(INDEX(T2_GroupSKU!$C:$C,MATCH(B41,T2_GroupSKU!$A:$A,0)),T1_ProductType!$A:$A,0)),"")</f>
        <v>Plastic Barrels</v>
      </c>
      <c r="G41" s="10" t="str">
        <f t="array" ref="G41">IFERROR(IF(INDEX(T1_ProductType!$E:$E,MATCH(INDEX(T2_GroupSKU!$C:$C,MATCH(B41,T2_GroupSKU!$A:$A,0)),T1_ProductType!$A:$A,0))="","-",INDEX(T1_ProductType!$E:$E,MATCH(INDEX(T2_GroupSKU!$C:$C,MATCH(B41,T2_GroupSKU!$A:$A,0)),T1_ProductType!$A:$A,0))),"-")</f>
        <v>-</v>
      </c>
      <c r="H41" s="10" t="str">
        <f t="array" ref="H41">IFERROR(IF(INDEX(T2_GroupSKU!$D:$D,MATCH(B41,T2_GroupSKU!$A:$A,0))="","-",INDEX(T2_GroupSKU!$D:$D,MATCH(B41,T2_GroupSKU!$A:$A,0))),"-")</f>
        <v>-</v>
      </c>
      <c r="I41" s="10" t="str">
        <f t="array" ref="I41">IFERROR(IF(INDEX(T2_GroupSKU!$E:$E,MATCH(B41,T2_GroupSKU!$A:$A,0))="","-",INDEX(T2_GroupSKU!$E:$E,MATCH(B41,T2_GroupSKU!$A:$A,0))),"-")</f>
        <v>-</v>
      </c>
      <c r="J41" s="10" t="str">
        <f>T3_SKU!C41</f>
        <v>50mm / Sauradip</v>
      </c>
      <c r="K41" s="10" t="str">
        <f>T3_SKU!D41</f>
        <v>MS CAP SEAL PRINTED 50 MM (SAURADIP)</v>
      </c>
      <c r="L41" s="10" t="str">
        <f>T3_SKU!E41</f>
        <v>NOS</v>
      </c>
      <c r="M41" s="10" t="str">
        <f>T3_SKU!F41</f>
        <v>               </v>
      </c>
    </row>
    <row r="42" ht="15.0" customHeight="1">
      <c r="A42" s="10" t="str">
        <f>T3_SKU!A42</f>
        <v>CAPSL-PR-V62</v>
      </c>
      <c r="B42" s="10" t="str">
        <f>T3_SKU!B42</f>
        <v>CAPSL-PR</v>
      </c>
      <c r="C42" s="10" t="str">
        <f t="array" ref="C42">IFERROR(INDEX(T2_GroupSKU!$B:$B,MATCH(B42,T2_GroupSKU!$A:$A,0)),"")</f>
        <v>Printed Cap Seal (Branded)</v>
      </c>
      <c r="D42" s="10" t="str">
        <f t="array" ref="D42">IFERROR(INDEX(T1_ProductType!$B:$B,MATCH(INDEX(T2_GroupSKU!$C:$C,MATCH(B42,T2_GroupSKU!$A:$A,0)),T1_ProductType!$A:$A,0)),"")</f>
        <v>Printed Cap Seal (Branded)</v>
      </c>
      <c r="E42" s="10" t="str">
        <f t="array" ref="E42">IFERROR(INDEX(T1_ProductType!$C:$C,MATCH(INDEX(T2_GroupSKU!$C:$C,MATCH(B42,T2_GroupSKU!$A:$A,0)),T1_ProductType!$A:$A,0)),"")</f>
        <v>Accessory</v>
      </c>
      <c r="F42" s="10" t="str">
        <f t="array" ref="F42">IFERROR(INDEX(T1_ProductType!$D:$D,MATCH(INDEX(T2_GroupSKU!$C:$C,MATCH(B42,T2_GroupSKU!$A:$A,0)),T1_ProductType!$A:$A,0)),"")</f>
        <v>Plastic Barrels</v>
      </c>
      <c r="G42" s="10" t="str">
        <f t="array" ref="G42">IFERROR(IF(INDEX(T1_ProductType!$E:$E,MATCH(INDEX(T2_GroupSKU!$C:$C,MATCH(B42,T2_GroupSKU!$A:$A,0)),T1_ProductType!$A:$A,0))="","-",INDEX(T1_ProductType!$E:$E,MATCH(INDEX(T2_GroupSKU!$C:$C,MATCH(B42,T2_GroupSKU!$A:$A,0)),T1_ProductType!$A:$A,0))),"-")</f>
        <v>-</v>
      </c>
      <c r="H42" s="10" t="str">
        <f t="array" ref="H42">IFERROR(IF(INDEX(T2_GroupSKU!$D:$D,MATCH(B42,T2_GroupSKU!$A:$A,0))="","-",INDEX(T2_GroupSKU!$D:$D,MATCH(B42,T2_GroupSKU!$A:$A,0))),"-")</f>
        <v>-</v>
      </c>
      <c r="I42" s="10" t="str">
        <f t="array" ref="I42">IFERROR(IF(INDEX(T2_GroupSKU!$E:$E,MATCH(B42,T2_GroupSKU!$A:$A,0))="","-",INDEX(T2_GroupSKU!$E:$E,MATCH(B42,T2_GroupSKU!$A:$A,0))),"-")</f>
        <v>-</v>
      </c>
      <c r="J42" s="10" t="str">
        <f>T3_SKU!C42</f>
        <v>50mm / Advance</v>
      </c>
      <c r="K42" s="10" t="str">
        <f>T3_SKU!D42</f>
        <v>MS CAP SEAL PRINTED 50 MM (ADVANCE)</v>
      </c>
      <c r="L42" s="10" t="str">
        <f>T3_SKU!E42</f>
        <v>NOS</v>
      </c>
      <c r="M42" s="10" t="str">
        <f>T3_SKU!F42</f>
        <v>               </v>
      </c>
    </row>
    <row r="43" ht="15.0" customHeight="1">
      <c r="A43" s="10" t="str">
        <f>T3_SKU!A43</f>
        <v>CAPSL-PR-V63</v>
      </c>
      <c r="B43" s="10" t="str">
        <f>T3_SKU!B43</f>
        <v>CAPSL-PR</v>
      </c>
      <c r="C43" s="10" t="str">
        <f t="array" ref="C43">IFERROR(INDEX(T2_GroupSKU!$B:$B,MATCH(B43,T2_GroupSKU!$A:$A,0)),"")</f>
        <v>Printed Cap Seal (Branded)</v>
      </c>
      <c r="D43" s="10" t="str">
        <f t="array" ref="D43">IFERROR(INDEX(T1_ProductType!$B:$B,MATCH(INDEX(T2_GroupSKU!$C:$C,MATCH(B43,T2_GroupSKU!$A:$A,0)),T1_ProductType!$A:$A,0)),"")</f>
        <v>Printed Cap Seal (Branded)</v>
      </c>
      <c r="E43" s="10" t="str">
        <f t="array" ref="E43">IFERROR(INDEX(T1_ProductType!$C:$C,MATCH(INDEX(T2_GroupSKU!$C:$C,MATCH(B43,T2_GroupSKU!$A:$A,0)),T1_ProductType!$A:$A,0)),"")</f>
        <v>Accessory</v>
      </c>
      <c r="F43" s="10" t="str">
        <f t="array" ref="F43">IFERROR(INDEX(T1_ProductType!$D:$D,MATCH(INDEX(T2_GroupSKU!$C:$C,MATCH(B43,T2_GroupSKU!$A:$A,0)),T1_ProductType!$A:$A,0)),"")</f>
        <v>Plastic Barrels</v>
      </c>
      <c r="G43" s="10" t="str">
        <f t="array" ref="G43">IFERROR(IF(INDEX(T1_ProductType!$E:$E,MATCH(INDEX(T2_GroupSKU!$C:$C,MATCH(B43,T2_GroupSKU!$A:$A,0)),T1_ProductType!$A:$A,0))="","-",INDEX(T1_ProductType!$E:$E,MATCH(INDEX(T2_GroupSKU!$C:$C,MATCH(B43,T2_GroupSKU!$A:$A,0)),T1_ProductType!$A:$A,0))),"-")</f>
        <v>-</v>
      </c>
      <c r="H43" s="10" t="str">
        <f t="array" ref="H43">IFERROR(IF(INDEX(T2_GroupSKU!$D:$D,MATCH(B43,T2_GroupSKU!$A:$A,0))="","-",INDEX(T2_GroupSKU!$D:$D,MATCH(B43,T2_GroupSKU!$A:$A,0))),"-")</f>
        <v>-</v>
      </c>
      <c r="I43" s="10" t="str">
        <f t="array" ref="I43">IFERROR(IF(INDEX(T2_GroupSKU!$E:$E,MATCH(B43,T2_GroupSKU!$A:$A,0))="","-",INDEX(T2_GroupSKU!$E:$E,MATCH(B43,T2_GroupSKU!$A:$A,0))),"-")</f>
        <v>-</v>
      </c>
      <c r="J43" s="10" t="str">
        <f>T3_SKU!C43</f>
        <v>50mm / Basf</v>
      </c>
      <c r="K43" s="10" t="str">
        <f>T3_SKU!D43</f>
        <v>MS CAP SEAL PRINTED 50 MM (BASF)</v>
      </c>
      <c r="L43" s="10" t="str">
        <f>T3_SKU!E43</f>
        <v>NOS</v>
      </c>
      <c r="M43" s="10" t="str">
        <f>T3_SKU!F43</f>
        <v>               </v>
      </c>
    </row>
    <row r="44" ht="15.0" customHeight="1">
      <c r="A44" s="10" t="str">
        <f>T3_SKU!A44</f>
        <v>CAPSL-PR-V64</v>
      </c>
      <c r="B44" s="10" t="str">
        <f>T3_SKU!B44</f>
        <v>CAPSL-PR</v>
      </c>
      <c r="C44" s="10" t="str">
        <f t="array" ref="C44">IFERROR(INDEX(T2_GroupSKU!$B:$B,MATCH(B44,T2_GroupSKU!$A:$A,0)),"")</f>
        <v>Printed Cap Seal (Branded)</v>
      </c>
      <c r="D44" s="10" t="str">
        <f t="array" ref="D44">IFERROR(INDEX(T1_ProductType!$B:$B,MATCH(INDEX(T2_GroupSKU!$C:$C,MATCH(B44,T2_GroupSKU!$A:$A,0)),T1_ProductType!$A:$A,0)),"")</f>
        <v>Printed Cap Seal (Branded)</v>
      </c>
      <c r="E44" s="10" t="str">
        <f t="array" ref="E44">IFERROR(INDEX(T1_ProductType!$C:$C,MATCH(INDEX(T2_GroupSKU!$C:$C,MATCH(B44,T2_GroupSKU!$A:$A,0)),T1_ProductType!$A:$A,0)),"")</f>
        <v>Accessory</v>
      </c>
      <c r="F44" s="10" t="str">
        <f t="array" ref="F44">IFERROR(INDEX(T1_ProductType!$D:$D,MATCH(INDEX(T2_GroupSKU!$C:$C,MATCH(B44,T2_GroupSKU!$A:$A,0)),T1_ProductType!$A:$A,0)),"")</f>
        <v>Plastic Barrels</v>
      </c>
      <c r="G44" s="10" t="str">
        <f t="array" ref="G44">IFERROR(IF(INDEX(T1_ProductType!$E:$E,MATCH(INDEX(T2_GroupSKU!$C:$C,MATCH(B44,T2_GroupSKU!$A:$A,0)),T1_ProductType!$A:$A,0))="","-",INDEX(T1_ProductType!$E:$E,MATCH(INDEX(T2_GroupSKU!$C:$C,MATCH(B44,T2_GroupSKU!$A:$A,0)),T1_ProductType!$A:$A,0))),"-")</f>
        <v>-</v>
      </c>
      <c r="H44" s="10" t="str">
        <f t="array" ref="H44">IFERROR(IF(INDEX(T2_GroupSKU!$D:$D,MATCH(B44,T2_GroupSKU!$A:$A,0))="","-",INDEX(T2_GroupSKU!$D:$D,MATCH(B44,T2_GroupSKU!$A:$A,0))),"-")</f>
        <v>-</v>
      </c>
      <c r="I44" s="10" t="str">
        <f t="array" ref="I44">IFERROR(IF(INDEX(T2_GroupSKU!$E:$E,MATCH(B44,T2_GroupSKU!$A:$A,0))="","-",INDEX(T2_GroupSKU!$E:$E,MATCH(B44,T2_GroupSKU!$A:$A,0))),"-")</f>
        <v>-</v>
      </c>
      <c r="J44" s="10" t="str">
        <f>T3_SKU!C44</f>
        <v>50mm / Ciba</v>
      </c>
      <c r="K44" s="10" t="str">
        <f>T3_SKU!D44</f>
        <v>MS CAP SEAL PRINTED 50 MM (CIBA)</v>
      </c>
      <c r="L44" s="10" t="str">
        <f>T3_SKU!E44</f>
        <v>NOS</v>
      </c>
      <c r="M44" s="10" t="str">
        <f>T3_SKU!F44</f>
        <v>               </v>
      </c>
    </row>
    <row r="45" ht="15.0" customHeight="1">
      <c r="A45" s="10" t="str">
        <f>T3_SKU!A45</f>
        <v>CAPSL-PR-V65</v>
      </c>
      <c r="B45" s="10" t="str">
        <f>T3_SKU!B45</f>
        <v>CAPSL-PR</v>
      </c>
      <c r="C45" s="10" t="str">
        <f t="array" ref="C45">IFERROR(INDEX(T2_GroupSKU!$B:$B,MATCH(B45,T2_GroupSKU!$A:$A,0)),"")</f>
        <v>Printed Cap Seal (Branded)</v>
      </c>
      <c r="D45" s="10" t="str">
        <f t="array" ref="D45">IFERROR(INDEX(T1_ProductType!$B:$B,MATCH(INDEX(T2_GroupSKU!$C:$C,MATCH(B45,T2_GroupSKU!$A:$A,0)),T1_ProductType!$A:$A,0)),"")</f>
        <v>Printed Cap Seal (Branded)</v>
      </c>
      <c r="E45" s="10" t="str">
        <f t="array" ref="E45">IFERROR(INDEX(T1_ProductType!$C:$C,MATCH(INDEX(T2_GroupSKU!$C:$C,MATCH(B45,T2_GroupSKU!$A:$A,0)),T1_ProductType!$A:$A,0)),"")</f>
        <v>Accessory</v>
      </c>
      <c r="F45" s="10" t="str">
        <f t="array" ref="F45">IFERROR(INDEX(T1_ProductType!$D:$D,MATCH(INDEX(T2_GroupSKU!$C:$C,MATCH(B45,T2_GroupSKU!$A:$A,0)),T1_ProductType!$A:$A,0)),"")</f>
        <v>Plastic Barrels</v>
      </c>
      <c r="G45" s="10" t="str">
        <f t="array" ref="G45">IFERROR(IF(INDEX(T1_ProductType!$E:$E,MATCH(INDEX(T2_GroupSKU!$C:$C,MATCH(B45,T2_GroupSKU!$A:$A,0)),T1_ProductType!$A:$A,0))="","-",INDEX(T1_ProductType!$E:$E,MATCH(INDEX(T2_GroupSKU!$C:$C,MATCH(B45,T2_GroupSKU!$A:$A,0)),T1_ProductType!$A:$A,0))),"-")</f>
        <v>-</v>
      </c>
      <c r="H45" s="10" t="str">
        <f t="array" ref="H45">IFERROR(IF(INDEX(T2_GroupSKU!$D:$D,MATCH(B45,T2_GroupSKU!$A:$A,0))="","-",INDEX(T2_GroupSKU!$D:$D,MATCH(B45,T2_GroupSKU!$A:$A,0))),"-")</f>
        <v>-</v>
      </c>
      <c r="I45" s="10" t="str">
        <f t="array" ref="I45">IFERROR(IF(INDEX(T2_GroupSKU!$E:$E,MATCH(B45,T2_GroupSKU!$A:$A,0))="","-",INDEX(T2_GroupSKU!$E:$E,MATCH(B45,T2_GroupSKU!$A:$A,0))),"-")</f>
        <v>-</v>
      </c>
      <c r="J45" s="10" t="str">
        <f>T3_SKU!C45</f>
        <v>50mm / Gnfc</v>
      </c>
      <c r="K45" s="10" t="str">
        <f>T3_SKU!D45</f>
        <v>MS CAP SEAL PRINTED 50 MM (GNFC)</v>
      </c>
      <c r="L45" s="10" t="str">
        <f>T3_SKU!E45</f>
        <v>NOS</v>
      </c>
      <c r="M45" s="10" t="str">
        <f>T3_SKU!F45</f>
        <v>               </v>
      </c>
    </row>
    <row r="46" ht="15.0" customHeight="1">
      <c r="A46" s="10" t="str">
        <f>T3_SKU!A46</f>
        <v>CAPSL-PR-V66</v>
      </c>
      <c r="B46" s="10" t="str">
        <f>T3_SKU!B46</f>
        <v>CAPSL-PR</v>
      </c>
      <c r="C46" s="10" t="str">
        <f t="array" ref="C46">IFERROR(INDEX(T2_GroupSKU!$B:$B,MATCH(B46,T2_GroupSKU!$A:$A,0)),"")</f>
        <v>Printed Cap Seal (Branded)</v>
      </c>
      <c r="D46" s="10" t="str">
        <f t="array" ref="D46">IFERROR(INDEX(T1_ProductType!$B:$B,MATCH(INDEX(T2_GroupSKU!$C:$C,MATCH(B46,T2_GroupSKU!$A:$A,0)),T1_ProductType!$A:$A,0)),"")</f>
        <v>Printed Cap Seal (Branded)</v>
      </c>
      <c r="E46" s="10" t="str">
        <f t="array" ref="E46">IFERROR(INDEX(T1_ProductType!$C:$C,MATCH(INDEX(T2_GroupSKU!$C:$C,MATCH(B46,T2_GroupSKU!$A:$A,0)),T1_ProductType!$A:$A,0)),"")</f>
        <v>Accessory</v>
      </c>
      <c r="F46" s="10" t="str">
        <f t="array" ref="F46">IFERROR(INDEX(T1_ProductType!$D:$D,MATCH(INDEX(T2_GroupSKU!$C:$C,MATCH(B46,T2_GroupSKU!$A:$A,0)),T1_ProductType!$A:$A,0)),"")</f>
        <v>Plastic Barrels</v>
      </c>
      <c r="G46" s="10" t="str">
        <f t="array" ref="G46">IFERROR(IF(INDEX(T1_ProductType!$E:$E,MATCH(INDEX(T2_GroupSKU!$C:$C,MATCH(B46,T2_GroupSKU!$A:$A,0)),T1_ProductType!$A:$A,0))="","-",INDEX(T1_ProductType!$E:$E,MATCH(INDEX(T2_GroupSKU!$C:$C,MATCH(B46,T2_GroupSKU!$A:$A,0)),T1_ProductType!$A:$A,0))),"-")</f>
        <v>-</v>
      </c>
      <c r="H46" s="10" t="str">
        <f t="array" ref="H46">IFERROR(IF(INDEX(T2_GroupSKU!$D:$D,MATCH(B46,T2_GroupSKU!$A:$A,0))="","-",INDEX(T2_GroupSKU!$D:$D,MATCH(B46,T2_GroupSKU!$A:$A,0))),"-")</f>
        <v>-</v>
      </c>
      <c r="I46" s="10" t="str">
        <f t="array" ref="I46">IFERROR(IF(INDEX(T2_GroupSKU!$E:$E,MATCH(B46,T2_GroupSKU!$A:$A,0))="","-",INDEX(T2_GroupSKU!$E:$E,MATCH(B46,T2_GroupSKU!$A:$A,0))),"-")</f>
        <v>-</v>
      </c>
      <c r="J46" s="10" t="str">
        <f>T3_SKU!C46</f>
        <v>50mm / Gpcpl</v>
      </c>
      <c r="K46" s="10" t="str">
        <f>T3_SKU!D46</f>
        <v>MS CAP SEAL PRINTED 50 MM (GPCPL)</v>
      </c>
      <c r="L46" s="10" t="str">
        <f>T3_SKU!E46</f>
        <v>NOS</v>
      </c>
      <c r="M46" s="10" t="str">
        <f>T3_SKU!F46</f>
        <v>               </v>
      </c>
    </row>
    <row r="47" ht="15.0" customHeight="1">
      <c r="A47" s="10" t="str">
        <f>T3_SKU!A47</f>
        <v>CAPSL-PR-V67</v>
      </c>
      <c r="B47" s="10" t="str">
        <f>T3_SKU!B47</f>
        <v>CAPSL-PR</v>
      </c>
      <c r="C47" s="10" t="str">
        <f t="array" ref="C47">IFERROR(INDEX(T2_GroupSKU!$B:$B,MATCH(B47,T2_GroupSKU!$A:$A,0)),"")</f>
        <v>Printed Cap Seal (Branded)</v>
      </c>
      <c r="D47" s="10" t="str">
        <f t="array" ref="D47">IFERROR(INDEX(T1_ProductType!$B:$B,MATCH(INDEX(T2_GroupSKU!$C:$C,MATCH(B47,T2_GroupSKU!$A:$A,0)),T1_ProductType!$A:$A,0)),"")</f>
        <v>Printed Cap Seal (Branded)</v>
      </c>
      <c r="E47" s="10" t="str">
        <f t="array" ref="E47">IFERROR(INDEX(T1_ProductType!$C:$C,MATCH(INDEX(T2_GroupSKU!$C:$C,MATCH(B47,T2_GroupSKU!$A:$A,0)),T1_ProductType!$A:$A,0)),"")</f>
        <v>Accessory</v>
      </c>
      <c r="F47" s="10" t="str">
        <f t="array" ref="F47">IFERROR(INDEX(T1_ProductType!$D:$D,MATCH(INDEX(T2_GroupSKU!$C:$C,MATCH(B47,T2_GroupSKU!$A:$A,0)),T1_ProductType!$A:$A,0)),"")</f>
        <v>Plastic Barrels</v>
      </c>
      <c r="G47" s="10" t="str">
        <f t="array" ref="G47">IFERROR(IF(INDEX(T1_ProductType!$E:$E,MATCH(INDEX(T2_GroupSKU!$C:$C,MATCH(B47,T2_GroupSKU!$A:$A,0)),T1_ProductType!$A:$A,0))="","-",INDEX(T1_ProductType!$E:$E,MATCH(INDEX(T2_GroupSKU!$C:$C,MATCH(B47,T2_GroupSKU!$A:$A,0)),T1_ProductType!$A:$A,0))),"-")</f>
        <v>-</v>
      </c>
      <c r="H47" s="10" t="str">
        <f t="array" ref="H47">IFERROR(IF(INDEX(T2_GroupSKU!$D:$D,MATCH(B47,T2_GroupSKU!$A:$A,0))="","-",INDEX(T2_GroupSKU!$D:$D,MATCH(B47,T2_GroupSKU!$A:$A,0))),"-")</f>
        <v>-</v>
      </c>
      <c r="I47" s="10" t="str">
        <f t="array" ref="I47">IFERROR(IF(INDEX(T2_GroupSKU!$E:$E,MATCH(B47,T2_GroupSKU!$A:$A,0))="","-",INDEX(T2_GroupSKU!$E:$E,MATCH(B47,T2_GroupSKU!$A:$A,0))),"-")</f>
        <v>-</v>
      </c>
      <c r="J47" s="10" t="str">
        <f>T3_SKU!C47</f>
        <v>50mm / Iol</v>
      </c>
      <c r="K47" s="10" t="str">
        <f>T3_SKU!D47</f>
        <v>MS CAP SEAL PRINTED 50 MM (IOL)</v>
      </c>
      <c r="L47" s="10" t="str">
        <f>T3_SKU!E47</f>
        <v>NOS</v>
      </c>
      <c r="M47" s="10" t="str">
        <f>T3_SKU!F47</f>
        <v>               </v>
      </c>
    </row>
    <row r="48" ht="15.0" customHeight="1">
      <c r="A48" s="10" t="str">
        <f>T3_SKU!A48</f>
        <v>CAPSL-PR-V68</v>
      </c>
      <c r="B48" s="10" t="str">
        <f>T3_SKU!B48</f>
        <v>CAPSL-PR</v>
      </c>
      <c r="C48" s="10" t="str">
        <f t="array" ref="C48">IFERROR(INDEX(T2_GroupSKU!$B:$B,MATCH(B48,T2_GroupSKU!$A:$A,0)),"")</f>
        <v>Printed Cap Seal (Branded)</v>
      </c>
      <c r="D48" s="10" t="str">
        <f t="array" ref="D48">IFERROR(INDEX(T1_ProductType!$B:$B,MATCH(INDEX(T2_GroupSKU!$C:$C,MATCH(B48,T2_GroupSKU!$A:$A,0)),T1_ProductType!$A:$A,0)),"")</f>
        <v>Printed Cap Seal (Branded)</v>
      </c>
      <c r="E48" s="10" t="str">
        <f t="array" ref="E48">IFERROR(INDEX(T1_ProductType!$C:$C,MATCH(INDEX(T2_GroupSKU!$C:$C,MATCH(B48,T2_GroupSKU!$A:$A,0)),T1_ProductType!$A:$A,0)),"")</f>
        <v>Accessory</v>
      </c>
      <c r="F48" s="10" t="str">
        <f t="array" ref="F48">IFERROR(INDEX(T1_ProductType!$D:$D,MATCH(INDEX(T2_GroupSKU!$C:$C,MATCH(B48,T2_GroupSKU!$A:$A,0)),T1_ProductType!$A:$A,0)),"")</f>
        <v>Plastic Barrels</v>
      </c>
      <c r="G48" s="10" t="str">
        <f t="array" ref="G48">IFERROR(IF(INDEX(T1_ProductType!$E:$E,MATCH(INDEX(T2_GroupSKU!$C:$C,MATCH(B48,T2_GroupSKU!$A:$A,0)),T1_ProductType!$A:$A,0))="","-",INDEX(T1_ProductType!$E:$E,MATCH(INDEX(T2_GroupSKU!$C:$C,MATCH(B48,T2_GroupSKU!$A:$A,0)),T1_ProductType!$A:$A,0))),"-")</f>
        <v>-</v>
      </c>
      <c r="H48" s="10" t="str">
        <f t="array" ref="H48">IFERROR(IF(INDEX(T2_GroupSKU!$D:$D,MATCH(B48,T2_GroupSKU!$A:$A,0))="","-",INDEX(T2_GroupSKU!$D:$D,MATCH(B48,T2_GroupSKU!$A:$A,0))),"-")</f>
        <v>-</v>
      </c>
      <c r="I48" s="10" t="str">
        <f t="array" ref="I48">IFERROR(IF(INDEX(T2_GroupSKU!$E:$E,MATCH(B48,T2_GroupSKU!$A:$A,0))="","-",INDEX(T2_GroupSKU!$E:$E,MATCH(B48,T2_GroupSKU!$A:$A,0))),"-")</f>
        <v>-</v>
      </c>
      <c r="J48" s="10" t="str">
        <f>T3_SKU!C48</f>
        <v>50mm / Sika</v>
      </c>
      <c r="K48" s="10" t="str">
        <f>T3_SKU!D48</f>
        <v>MS CAP SEAL PRINTED 50 MM (SIKA)</v>
      </c>
      <c r="L48" s="10" t="str">
        <f>T3_SKU!E48</f>
        <v>NOS</v>
      </c>
      <c r="M48" s="10" t="str">
        <f>T3_SKU!F48</f>
        <v>               </v>
      </c>
    </row>
    <row r="49" ht="15.0" customHeight="1">
      <c r="A49" s="10" t="str">
        <f>T3_SKU!A49</f>
        <v>CAPSL-PR-V69</v>
      </c>
      <c r="B49" s="10" t="str">
        <f>T3_SKU!B49</f>
        <v>CAPSL-PR</v>
      </c>
      <c r="C49" s="10" t="str">
        <f t="array" ref="C49">IFERROR(INDEX(T2_GroupSKU!$B:$B,MATCH(B49,T2_GroupSKU!$A:$A,0)),"")</f>
        <v>Printed Cap Seal (Branded)</v>
      </c>
      <c r="D49" s="10" t="str">
        <f t="array" ref="D49">IFERROR(INDEX(T1_ProductType!$B:$B,MATCH(INDEX(T2_GroupSKU!$C:$C,MATCH(B49,T2_GroupSKU!$A:$A,0)),T1_ProductType!$A:$A,0)),"")</f>
        <v>Printed Cap Seal (Branded)</v>
      </c>
      <c r="E49" s="10" t="str">
        <f t="array" ref="E49">IFERROR(INDEX(T1_ProductType!$C:$C,MATCH(INDEX(T2_GroupSKU!$C:$C,MATCH(B49,T2_GroupSKU!$A:$A,0)),T1_ProductType!$A:$A,0)),"")</f>
        <v>Accessory</v>
      </c>
      <c r="F49" s="10" t="str">
        <f t="array" ref="F49">IFERROR(INDEX(T1_ProductType!$D:$D,MATCH(INDEX(T2_GroupSKU!$C:$C,MATCH(B49,T2_GroupSKU!$A:$A,0)),T1_ProductType!$A:$A,0)),"")</f>
        <v>Plastic Barrels</v>
      </c>
      <c r="G49" s="10" t="str">
        <f t="array" ref="G49">IFERROR(IF(INDEX(T1_ProductType!$E:$E,MATCH(INDEX(T2_GroupSKU!$C:$C,MATCH(B49,T2_GroupSKU!$A:$A,0)),T1_ProductType!$A:$A,0))="","-",INDEX(T1_ProductType!$E:$E,MATCH(INDEX(T2_GroupSKU!$C:$C,MATCH(B49,T2_GroupSKU!$A:$A,0)),T1_ProductType!$A:$A,0))),"-")</f>
        <v>-</v>
      </c>
      <c r="H49" s="10" t="str">
        <f t="array" ref="H49">IFERROR(IF(INDEX(T2_GroupSKU!$D:$D,MATCH(B49,T2_GroupSKU!$A:$A,0))="","-",INDEX(T2_GroupSKU!$D:$D,MATCH(B49,T2_GroupSKU!$A:$A,0))),"-")</f>
        <v>-</v>
      </c>
      <c r="I49" s="10" t="str">
        <f t="array" ref="I49">IFERROR(IF(INDEX(T2_GroupSKU!$E:$E,MATCH(B49,T2_GroupSKU!$A:$A,0))="","-",INDEX(T2_GroupSKU!$E:$E,MATCH(B49,T2_GroupSKU!$A:$A,0))),"-")</f>
        <v>-</v>
      </c>
      <c r="J49" s="10" t="str">
        <f>T3_SKU!C49</f>
        <v>50mm / Stpl</v>
      </c>
      <c r="K49" s="10" t="str">
        <f>T3_SKU!D49</f>
        <v>MS CAP SEAL PRINTED 50 MM (STPL)</v>
      </c>
      <c r="L49" s="10" t="str">
        <f>T3_SKU!E49</f>
        <v>NOS</v>
      </c>
      <c r="M49" s="10" t="str">
        <f>T3_SKU!F49</f>
        <v>               </v>
      </c>
    </row>
    <row r="50" ht="15.0" customHeight="1">
      <c r="A50" s="10" t="str">
        <f>T3_SKU!A50</f>
        <v>CAPSL-PR-V70</v>
      </c>
      <c r="B50" s="10" t="str">
        <f>T3_SKU!B50</f>
        <v>CAPSL-PR</v>
      </c>
      <c r="C50" s="10" t="str">
        <f t="array" ref="C50">IFERROR(INDEX(T2_GroupSKU!$B:$B,MATCH(B50,T2_GroupSKU!$A:$A,0)),"")</f>
        <v>Printed Cap Seal (Branded)</v>
      </c>
      <c r="D50" s="10" t="str">
        <f t="array" ref="D50">IFERROR(INDEX(T1_ProductType!$B:$B,MATCH(INDEX(T2_GroupSKU!$C:$C,MATCH(B50,T2_GroupSKU!$A:$A,0)),T1_ProductType!$A:$A,0)),"")</f>
        <v>Printed Cap Seal (Branded)</v>
      </c>
      <c r="E50" s="10" t="str">
        <f t="array" ref="E50">IFERROR(INDEX(T1_ProductType!$C:$C,MATCH(INDEX(T2_GroupSKU!$C:$C,MATCH(B50,T2_GroupSKU!$A:$A,0)),T1_ProductType!$A:$A,0)),"")</f>
        <v>Accessory</v>
      </c>
      <c r="F50" s="10" t="str">
        <f t="array" ref="F50">IFERROR(INDEX(T1_ProductType!$D:$D,MATCH(INDEX(T2_GroupSKU!$C:$C,MATCH(B50,T2_GroupSKU!$A:$A,0)),T1_ProductType!$A:$A,0)),"")</f>
        <v>Plastic Barrels</v>
      </c>
      <c r="G50" s="10" t="str">
        <f t="array" ref="G50">IFERROR(IF(INDEX(T1_ProductType!$E:$E,MATCH(INDEX(T2_GroupSKU!$C:$C,MATCH(B50,T2_GroupSKU!$A:$A,0)),T1_ProductType!$A:$A,0))="","-",INDEX(T1_ProductType!$E:$E,MATCH(INDEX(T2_GroupSKU!$C:$C,MATCH(B50,T2_GroupSKU!$A:$A,0)),T1_ProductType!$A:$A,0))),"-")</f>
        <v>-</v>
      </c>
      <c r="H50" s="10" t="str">
        <f t="array" ref="H50">IFERROR(IF(INDEX(T2_GroupSKU!$D:$D,MATCH(B50,T2_GroupSKU!$A:$A,0))="","-",INDEX(T2_GroupSKU!$D:$D,MATCH(B50,T2_GroupSKU!$A:$A,0))),"-")</f>
        <v>-</v>
      </c>
      <c r="I50" s="10" t="str">
        <f t="array" ref="I50">IFERROR(IF(INDEX(T2_GroupSKU!$E:$E,MATCH(B50,T2_GroupSKU!$A:$A,0))="","-",INDEX(T2_GroupSKU!$E:$E,MATCH(B50,T2_GroupSKU!$A:$A,0))),"-")</f>
        <v>-</v>
      </c>
      <c r="J50" s="10" t="str">
        <f>T3_SKU!C50</f>
        <v>50mm / Thomash</v>
      </c>
      <c r="K50" s="10" t="str">
        <f>T3_SKU!D50</f>
        <v>MS CAP SEAL PRINTED 50 MM(THOMASH)</v>
      </c>
      <c r="L50" s="10" t="str">
        <f>T3_SKU!E50</f>
        <v>NOS</v>
      </c>
      <c r="M50" s="10" t="str">
        <f>T3_SKU!F50</f>
        <v>               </v>
      </c>
    </row>
    <row r="51" ht="15.0" customHeight="1">
      <c r="A51" s="10" t="str">
        <f>T3_SKU!A51</f>
        <v>CAPSL-PR-V71</v>
      </c>
      <c r="B51" s="10" t="str">
        <f>T3_SKU!B51</f>
        <v>CAPSL-PR</v>
      </c>
      <c r="C51" s="10" t="str">
        <f t="array" ref="C51">IFERROR(INDEX(T2_GroupSKU!$B:$B,MATCH(B51,T2_GroupSKU!$A:$A,0)),"")</f>
        <v>Printed Cap Seal (Branded)</v>
      </c>
      <c r="D51" s="10" t="str">
        <f t="array" ref="D51">IFERROR(INDEX(T1_ProductType!$B:$B,MATCH(INDEX(T2_GroupSKU!$C:$C,MATCH(B51,T2_GroupSKU!$A:$A,0)),T1_ProductType!$A:$A,0)),"")</f>
        <v>Printed Cap Seal (Branded)</v>
      </c>
      <c r="E51" s="10" t="str">
        <f t="array" ref="E51">IFERROR(INDEX(T1_ProductType!$C:$C,MATCH(INDEX(T2_GroupSKU!$C:$C,MATCH(B51,T2_GroupSKU!$A:$A,0)),T1_ProductType!$A:$A,0)),"")</f>
        <v>Accessory</v>
      </c>
      <c r="F51" s="10" t="str">
        <f t="array" ref="F51">IFERROR(INDEX(T1_ProductType!$D:$D,MATCH(INDEX(T2_GroupSKU!$C:$C,MATCH(B51,T2_GroupSKU!$A:$A,0)),T1_ProductType!$A:$A,0)),"")</f>
        <v>Plastic Barrels</v>
      </c>
      <c r="G51" s="10" t="str">
        <f t="array" ref="G51">IFERROR(IF(INDEX(T1_ProductType!$E:$E,MATCH(INDEX(T2_GroupSKU!$C:$C,MATCH(B51,T2_GroupSKU!$A:$A,0)),T1_ProductType!$A:$A,0))="","-",INDEX(T1_ProductType!$E:$E,MATCH(INDEX(T2_GroupSKU!$C:$C,MATCH(B51,T2_GroupSKU!$A:$A,0)),T1_ProductType!$A:$A,0))),"-")</f>
        <v>-</v>
      </c>
      <c r="H51" s="10" t="str">
        <f t="array" ref="H51">IFERROR(IF(INDEX(T2_GroupSKU!$D:$D,MATCH(B51,T2_GroupSKU!$A:$A,0))="","-",INDEX(T2_GroupSKU!$D:$D,MATCH(B51,T2_GroupSKU!$A:$A,0))),"-")</f>
        <v>-</v>
      </c>
      <c r="I51" s="10" t="str">
        <f t="array" ref="I51">IFERROR(IF(INDEX(T2_GroupSKU!$E:$E,MATCH(B51,T2_GroupSKU!$A:$A,0))="","-",INDEX(T2_GroupSKU!$E:$E,MATCH(B51,T2_GroupSKU!$A:$A,0))),"-")</f>
        <v>-</v>
      </c>
      <c r="J51" s="10" t="str">
        <f>T3_SKU!C51</f>
        <v>50mm / Dcgl Ahmedabad</v>
      </c>
      <c r="K51" s="10" t="str">
        <f>T3_SKU!D51</f>
        <v>MS CAP SEAL PRINTED 50 MM (DCGL AHMEDABAD)</v>
      </c>
      <c r="L51" s="10" t="str">
        <f>T3_SKU!E51</f>
        <v>NOS</v>
      </c>
      <c r="M51" s="10" t="str">
        <f>T3_SKU!F51</f>
        <v>8309</v>
      </c>
    </row>
    <row r="52" ht="15.0" customHeight="1">
      <c r="A52" s="10" t="str">
        <f>T3_SKU!A52</f>
        <v>CAPSL-PR-V72</v>
      </c>
      <c r="B52" s="10" t="str">
        <f>T3_SKU!B52</f>
        <v>CAPSL-PR</v>
      </c>
      <c r="C52" s="10" t="str">
        <f t="array" ref="C52">IFERROR(INDEX(T2_GroupSKU!$B:$B,MATCH(B52,T2_GroupSKU!$A:$A,0)),"")</f>
        <v>Printed Cap Seal (Branded)</v>
      </c>
      <c r="D52" s="10" t="str">
        <f t="array" ref="D52">IFERROR(INDEX(T1_ProductType!$B:$B,MATCH(INDEX(T2_GroupSKU!$C:$C,MATCH(B52,T2_GroupSKU!$A:$A,0)),T1_ProductType!$A:$A,0)),"")</f>
        <v>Printed Cap Seal (Branded)</v>
      </c>
      <c r="E52" s="10" t="str">
        <f t="array" ref="E52">IFERROR(INDEX(T1_ProductType!$C:$C,MATCH(INDEX(T2_GroupSKU!$C:$C,MATCH(B52,T2_GroupSKU!$A:$A,0)),T1_ProductType!$A:$A,0)),"")</f>
        <v>Accessory</v>
      </c>
      <c r="F52" s="10" t="str">
        <f t="array" ref="F52">IFERROR(INDEX(T1_ProductType!$D:$D,MATCH(INDEX(T2_GroupSKU!$C:$C,MATCH(B52,T2_GroupSKU!$A:$A,0)),T1_ProductType!$A:$A,0)),"")</f>
        <v>Plastic Barrels</v>
      </c>
      <c r="G52" s="10" t="str">
        <f t="array" ref="G52">IFERROR(IF(INDEX(T1_ProductType!$E:$E,MATCH(INDEX(T2_GroupSKU!$C:$C,MATCH(B52,T2_GroupSKU!$A:$A,0)),T1_ProductType!$A:$A,0))="","-",INDEX(T1_ProductType!$E:$E,MATCH(INDEX(T2_GroupSKU!$C:$C,MATCH(B52,T2_GroupSKU!$A:$A,0)),T1_ProductType!$A:$A,0))),"-")</f>
        <v>-</v>
      </c>
      <c r="H52" s="10" t="str">
        <f t="array" ref="H52">IFERROR(IF(INDEX(T2_GroupSKU!$D:$D,MATCH(B52,T2_GroupSKU!$A:$A,0))="","-",INDEX(T2_GroupSKU!$D:$D,MATCH(B52,T2_GroupSKU!$A:$A,0))),"-")</f>
        <v>-</v>
      </c>
      <c r="I52" s="10" t="str">
        <f t="array" ref="I52">IFERROR(IF(INDEX(T2_GroupSKU!$E:$E,MATCH(B52,T2_GroupSKU!$A:$A,0))="","-",INDEX(T2_GroupSKU!$E:$E,MATCH(B52,T2_GroupSKU!$A:$A,0))),"-")</f>
        <v>-</v>
      </c>
      <c r="J52" s="10" t="str">
        <f>T3_SKU!C52</f>
        <v>50mm / Dcgl Sayakha</v>
      </c>
      <c r="K52" s="10" t="str">
        <f>T3_SKU!D52</f>
        <v>MS CAP SEAL PRINTED 50 MM (DCGL SAYAKHA)</v>
      </c>
      <c r="L52" s="10" t="str">
        <f>T3_SKU!E52</f>
        <v>NOS</v>
      </c>
      <c r="M52" s="10" t="str">
        <f>T3_SKU!F52</f>
        <v>8309</v>
      </c>
    </row>
    <row r="53" ht="15.0" customHeight="1">
      <c r="A53" s="10" t="str">
        <f>T3_SKU!A53</f>
        <v>CAPSL-V18</v>
      </c>
      <c r="B53" s="10" t="str">
        <f>T3_SKU!B53</f>
        <v>CAPSL</v>
      </c>
      <c r="C53" s="10" t="str">
        <f t="array" ref="C53">IFERROR(INDEX(T2_GroupSKU!$B:$B,MATCH(B53,T2_GroupSKU!$A:$A,0)),"")</f>
        <v>Cap Seal</v>
      </c>
      <c r="D53" s="10" t="str">
        <f t="array" ref="D53">IFERROR(INDEX(T1_ProductType!$B:$B,MATCH(INDEX(T2_GroupSKU!$C:$C,MATCH(B53,T2_GroupSKU!$A:$A,0)),T1_ProductType!$A:$A,0)),"")</f>
        <v>Cap Seal</v>
      </c>
      <c r="E53" s="10" t="str">
        <f t="array" ref="E53">IFERROR(INDEX(T1_ProductType!$C:$C,MATCH(INDEX(T2_GroupSKU!$C:$C,MATCH(B53,T2_GroupSKU!$A:$A,0)),T1_ProductType!$A:$A,0)),"")</f>
        <v>Accessory</v>
      </c>
      <c r="F53" s="10" t="str">
        <f t="array" ref="F53">IFERROR(INDEX(T1_ProductType!$D:$D,MATCH(INDEX(T2_GroupSKU!$C:$C,MATCH(B53,T2_GroupSKU!$A:$A,0)),T1_ProductType!$A:$A,0)),"")</f>
        <v>Plastic Barrels</v>
      </c>
      <c r="G53" s="10" t="str">
        <f t="array" ref="G53">IFERROR(IF(INDEX(T1_ProductType!$E:$E,MATCH(INDEX(T2_GroupSKU!$C:$C,MATCH(B53,T2_GroupSKU!$A:$A,0)),T1_ProductType!$A:$A,0))="","-",INDEX(T1_ProductType!$E:$E,MATCH(INDEX(T2_GroupSKU!$C:$C,MATCH(B53,T2_GroupSKU!$A:$A,0)),T1_ProductType!$A:$A,0))),"-")</f>
        <v>-</v>
      </c>
      <c r="H53" s="10" t="str">
        <f t="array" ref="H53">IFERROR(IF(INDEX(T2_GroupSKU!$D:$D,MATCH(B53,T2_GroupSKU!$A:$A,0))="","-",INDEX(T2_GroupSKU!$D:$D,MATCH(B53,T2_GroupSKU!$A:$A,0))),"-")</f>
        <v>-</v>
      </c>
      <c r="I53" s="10" t="str">
        <f t="array" ref="I53">IFERROR(IF(INDEX(T2_GroupSKU!$E:$E,MATCH(B53,T2_GroupSKU!$A:$A,0))="","-",INDEX(T2_GroupSKU!$E:$E,MATCH(B53,T2_GroupSKU!$A:$A,0))),"-")</f>
        <v>-</v>
      </c>
      <c r="J53" s="10" t="str">
        <f>T3_SKU!C53</f>
        <v>70mm / Ibc</v>
      </c>
      <c r="K53" s="10" t="str">
        <f>T3_SKU!D53</f>
        <v>70 MM CAP SEAL (IBC)</v>
      </c>
      <c r="L53" s="10" t="str">
        <f>T3_SKU!E53</f>
        <v>NOS</v>
      </c>
      <c r="M53" s="10" t="str">
        <f>T3_SKU!F53</f>
        <v>39235010</v>
      </c>
    </row>
    <row r="54" ht="15.0" customHeight="1">
      <c r="A54" s="10" t="str">
        <f>T3_SKU!A54</f>
        <v>CAPSL-V58</v>
      </c>
      <c r="B54" s="10" t="str">
        <f>T3_SKU!B54</f>
        <v>CAPSL</v>
      </c>
      <c r="C54" s="10" t="str">
        <f t="array" ref="C54">IFERROR(INDEX(T2_GroupSKU!$B:$B,MATCH(B54,T2_GroupSKU!$A:$A,0)),"")</f>
        <v>Cap Seal</v>
      </c>
      <c r="D54" s="10" t="str">
        <f t="array" ref="D54">IFERROR(INDEX(T1_ProductType!$B:$B,MATCH(INDEX(T2_GroupSKU!$C:$C,MATCH(B54,T2_GroupSKU!$A:$A,0)),T1_ProductType!$A:$A,0)),"")</f>
        <v>Cap Seal</v>
      </c>
      <c r="E54" s="10" t="str">
        <f t="array" ref="E54">IFERROR(INDEX(T1_ProductType!$C:$C,MATCH(INDEX(T2_GroupSKU!$C:$C,MATCH(B54,T2_GroupSKU!$A:$A,0)),T1_ProductType!$A:$A,0)),"")</f>
        <v>Accessory</v>
      </c>
      <c r="F54" s="10" t="str">
        <f t="array" ref="F54">IFERROR(INDEX(T1_ProductType!$D:$D,MATCH(INDEX(T2_GroupSKU!$C:$C,MATCH(B54,T2_GroupSKU!$A:$A,0)),T1_ProductType!$A:$A,0)),"")</f>
        <v>Plastic Barrels</v>
      </c>
      <c r="G54" s="10" t="str">
        <f t="array" ref="G54">IFERROR(IF(INDEX(T1_ProductType!$E:$E,MATCH(INDEX(T2_GroupSKU!$C:$C,MATCH(B54,T2_GroupSKU!$A:$A,0)),T1_ProductType!$A:$A,0))="","-",INDEX(T1_ProductType!$E:$E,MATCH(INDEX(T2_GroupSKU!$C:$C,MATCH(B54,T2_GroupSKU!$A:$A,0)),T1_ProductType!$A:$A,0))),"-")</f>
        <v>-</v>
      </c>
      <c r="H54" s="10" t="str">
        <f t="array" ref="H54">IFERROR(IF(INDEX(T2_GroupSKU!$D:$D,MATCH(B54,T2_GroupSKU!$A:$A,0))="","-",INDEX(T2_GroupSKU!$D:$D,MATCH(B54,T2_GroupSKU!$A:$A,0))),"-")</f>
        <v>-</v>
      </c>
      <c r="I54" s="10" t="str">
        <f t="array" ref="I54">IFERROR(IF(INDEX(T2_GroupSKU!$E:$E,MATCH(B54,T2_GroupSKU!$A:$A,0))="","-",INDEX(T2_GroupSKU!$E:$E,MATCH(B54,T2_GroupSKU!$A:$A,0))),"-")</f>
        <v>-</v>
      </c>
      <c r="J54" s="10" t="str">
        <f>T3_SKU!C54</f>
        <v>Vinyalring</v>
      </c>
      <c r="K54" s="10" t="str">
        <f>T3_SKU!D54</f>
        <v>MS CAP SEAL PLAIN (VINYALRING)</v>
      </c>
      <c r="L54" s="10" t="str">
        <f>T3_SKU!E54</f>
        <v>NOS</v>
      </c>
      <c r="M54" s="10" t="str">
        <f>T3_SKU!F54</f>
        <v>               </v>
      </c>
    </row>
    <row r="55" ht="15.0" customHeight="1">
      <c r="A55" s="10" t="str">
        <f>T3_SKU!A55</f>
        <v>CAPSPN-V43</v>
      </c>
      <c r="B55" s="10" t="str">
        <f>T3_SKU!B55</f>
        <v>CAPSPN</v>
      </c>
      <c r="C55" s="10" t="str">
        <f t="array" ref="C55">IFERROR(INDEX(T2_GroupSKU!$B:$B,MATCH(B55,T2_GroupSKU!$A:$A,0)),"")</f>
        <v>Cap Spanner</v>
      </c>
      <c r="D55" s="10" t="str">
        <f t="array" ref="D55">IFERROR(INDEX(T1_ProductType!$B:$B,MATCH(INDEX(T2_GroupSKU!$C:$C,MATCH(B55,T2_GroupSKU!$A:$A,0)),T1_ProductType!$A:$A,0)),"")</f>
        <v>Cap Spanner</v>
      </c>
      <c r="E55" s="10" t="str">
        <f t="array" ref="E55">IFERROR(INDEX(T1_ProductType!$C:$C,MATCH(INDEX(T2_GroupSKU!$C:$C,MATCH(B55,T2_GroupSKU!$A:$A,0)),T1_ProductType!$A:$A,0)),"")</f>
        <v>Accessory</v>
      </c>
      <c r="F55" s="10" t="str">
        <f t="array" ref="F55">IFERROR(INDEX(T1_ProductType!$D:$D,MATCH(INDEX(T2_GroupSKU!$C:$C,MATCH(B55,T2_GroupSKU!$A:$A,0)),T1_ProductType!$A:$A,0)),"")</f>
        <v>Plastic Barrels</v>
      </c>
      <c r="G55" s="10" t="str">
        <f t="array" ref="G55">IFERROR(IF(INDEX(T1_ProductType!$E:$E,MATCH(INDEX(T2_GroupSKU!$C:$C,MATCH(B55,T2_GroupSKU!$A:$A,0)),T1_ProductType!$A:$A,0))="","-",INDEX(T1_ProductType!$E:$E,MATCH(INDEX(T2_GroupSKU!$C:$C,MATCH(B55,T2_GroupSKU!$A:$A,0)),T1_ProductType!$A:$A,0))),"-")</f>
        <v>-</v>
      </c>
      <c r="H55" s="10" t="str">
        <f t="array" ref="H55">IFERROR(IF(INDEX(T2_GroupSKU!$D:$D,MATCH(B55,T2_GroupSKU!$A:$A,0))="","-",INDEX(T2_GroupSKU!$D:$D,MATCH(B55,T2_GroupSKU!$A:$A,0))),"-")</f>
        <v>-</v>
      </c>
      <c r="I55" s="10" t="str">
        <f t="array" ref="I55">IFERROR(IF(INDEX(T2_GroupSKU!$E:$E,MATCH(B55,T2_GroupSKU!$A:$A,0))="","-",INDEX(T2_GroupSKU!$E:$E,MATCH(B55,T2_GroupSKU!$A:$A,0))),"-")</f>
        <v>-</v>
      </c>
      <c r="J55" s="10" t="str">
        <f>T3_SKU!C55</f>
        <v>Ibc</v>
      </c>
      <c r="K55" s="10" t="str">
        <f>T3_SKU!D55</f>
        <v>CAP SPANNER (IBC)</v>
      </c>
      <c r="L55" s="10" t="str">
        <f>T3_SKU!E55</f>
        <v>NOS</v>
      </c>
      <c r="M55" s="10" t="str">
        <f>T3_SKU!F55</f>
        <v>82041110</v>
      </c>
    </row>
    <row r="56" ht="15.0" customHeight="1">
      <c r="A56" s="10" t="str">
        <f>T3_SKU!A56</f>
        <v>CLCV-V410</v>
      </c>
      <c r="B56" s="10" t="str">
        <f>T3_SKU!B56</f>
        <v>CLCV</v>
      </c>
      <c r="C56" s="10" t="str">
        <f t="array" ref="C56">IFERROR(INDEX(T2_GroupSKU!$B:$B,MATCH(B56,T2_GroupSKU!$A:$A,0)),"")</f>
        <v>Cliching Cover</v>
      </c>
      <c r="D56" s="10" t="str">
        <f t="array" ref="D56">IFERROR(INDEX(T1_ProductType!$B:$B,MATCH(INDEX(T2_GroupSKU!$C:$C,MATCH(B56,T2_GroupSKU!$A:$A,0)),T1_ProductType!$A:$A,0)),"")</f>
        <v>Cliching Cover</v>
      </c>
      <c r="E56" s="10" t="str">
        <f t="array" ref="E56">IFERROR(INDEX(T1_ProductType!$C:$C,MATCH(INDEX(T2_GroupSKU!$C:$C,MATCH(B56,T2_GroupSKU!$A:$A,0)),T1_ProductType!$A:$A,0)),"")</f>
        <v>Accessory</v>
      </c>
      <c r="F56" s="10" t="str">
        <f t="array" ref="F56">IFERROR(INDEX(T1_ProductType!$D:$D,MATCH(INDEX(T2_GroupSKU!$C:$C,MATCH(B56,T2_GroupSKU!$A:$A,0)),T1_ProductType!$A:$A,0)),"")</f>
        <v>Plastic Barrels</v>
      </c>
      <c r="G56" s="10" t="str">
        <f t="array" ref="G56">IFERROR(IF(INDEX(T1_ProductType!$E:$E,MATCH(INDEX(T2_GroupSKU!$C:$C,MATCH(B56,T2_GroupSKU!$A:$A,0)),T1_ProductType!$A:$A,0))="","-",INDEX(T1_ProductType!$E:$E,MATCH(INDEX(T2_GroupSKU!$C:$C,MATCH(B56,T2_GroupSKU!$A:$A,0)),T1_ProductType!$A:$A,0))),"-")</f>
        <v>-</v>
      </c>
      <c r="H56" s="10" t="str">
        <f t="array" ref="H56">IFERROR(IF(INDEX(T2_GroupSKU!$D:$D,MATCH(B56,T2_GroupSKU!$A:$A,0))="","-",INDEX(T2_GroupSKU!$D:$D,MATCH(B56,T2_GroupSKU!$A:$A,0))),"-")</f>
        <v>-</v>
      </c>
      <c r="I56" s="10" t="str">
        <f t="array" ref="I56">IFERROR(IF(INDEX(T2_GroupSKU!$E:$E,MATCH(B56,T2_GroupSKU!$A:$A,0))="","-",INDEX(T2_GroupSKU!$E:$E,MATCH(B56,T2_GroupSKU!$A:$A,0))),"-")</f>
        <v>-</v>
      </c>
      <c r="J56" s="10" t="str">
        <f>T3_SKU!C56</f>
        <v>CLICHING COVER ROUND</v>
      </c>
      <c r="K56" s="10" t="str">
        <f>T3_SKU!D56</f>
        <v>CLICHING COVER ROUND</v>
      </c>
      <c r="L56" s="10" t="str">
        <f>T3_SKU!E56</f>
        <v>NOS</v>
      </c>
      <c r="M56" s="10" t="str">
        <f>T3_SKU!F56</f>
        <v>39235010</v>
      </c>
    </row>
    <row r="57" ht="15.0" customHeight="1">
      <c r="A57" s="10" t="str">
        <f>T3_SKU!A57</f>
        <v>CLCV-V411</v>
      </c>
      <c r="B57" s="10" t="str">
        <f>T3_SKU!B57</f>
        <v>CLCV</v>
      </c>
      <c r="C57" s="10" t="str">
        <f t="array" ref="C57">IFERROR(INDEX(T2_GroupSKU!$B:$B,MATCH(B57,T2_GroupSKU!$A:$A,0)),"")</f>
        <v>Cliching Cover</v>
      </c>
      <c r="D57" s="10" t="str">
        <f t="array" ref="D57">IFERROR(INDEX(T1_ProductType!$B:$B,MATCH(INDEX(T2_GroupSKU!$C:$C,MATCH(B57,T2_GroupSKU!$A:$A,0)),T1_ProductType!$A:$A,0)),"")</f>
        <v>Cliching Cover</v>
      </c>
      <c r="E57" s="10" t="str">
        <f t="array" ref="E57">IFERROR(INDEX(T1_ProductType!$C:$C,MATCH(INDEX(T2_GroupSKU!$C:$C,MATCH(B57,T2_GroupSKU!$A:$A,0)),T1_ProductType!$A:$A,0)),"")</f>
        <v>Accessory</v>
      </c>
      <c r="F57" s="10" t="str">
        <f t="array" ref="F57">IFERROR(INDEX(T1_ProductType!$D:$D,MATCH(INDEX(T2_GroupSKU!$C:$C,MATCH(B57,T2_GroupSKU!$A:$A,0)),T1_ProductType!$A:$A,0)),"")</f>
        <v>Plastic Barrels</v>
      </c>
      <c r="G57" s="10" t="str">
        <f t="array" ref="G57">IFERROR(IF(INDEX(T1_ProductType!$E:$E,MATCH(INDEX(T2_GroupSKU!$C:$C,MATCH(B57,T2_GroupSKU!$A:$A,0)),T1_ProductType!$A:$A,0))="","-",INDEX(T1_ProductType!$E:$E,MATCH(INDEX(T2_GroupSKU!$C:$C,MATCH(B57,T2_GroupSKU!$A:$A,0)),T1_ProductType!$A:$A,0))),"-")</f>
        <v>-</v>
      </c>
      <c r="H57" s="10" t="str">
        <f t="array" ref="H57">IFERROR(IF(INDEX(T2_GroupSKU!$D:$D,MATCH(B57,T2_GroupSKU!$A:$A,0))="","-",INDEX(T2_GroupSKU!$D:$D,MATCH(B57,T2_GroupSKU!$A:$A,0))),"-")</f>
        <v>-</v>
      </c>
      <c r="I57" s="10" t="str">
        <f t="array" ref="I57">IFERROR(IF(INDEX(T2_GroupSKU!$E:$E,MATCH(B57,T2_GroupSKU!$A:$A,0))="","-",INDEX(T2_GroupSKU!$E:$E,MATCH(B57,T2_GroupSKU!$A:$A,0))),"-")</f>
        <v>-</v>
      </c>
      <c r="J57" s="10" t="str">
        <f>T3_SKU!C57</f>
        <v>CLICHING COVER SQUARE</v>
      </c>
      <c r="K57" s="10" t="str">
        <f>T3_SKU!D57</f>
        <v>CLICHING COVER SQUARE</v>
      </c>
      <c r="L57" s="10" t="str">
        <f>T3_SKU!E57</f>
        <v>NOS</v>
      </c>
      <c r="M57" s="10" t="str">
        <f>T3_SKU!F57</f>
        <v>39235010</v>
      </c>
    </row>
    <row r="58" ht="15.0" customHeight="1">
      <c r="A58" s="10" t="str">
        <f>T3_SKU!A58</f>
        <v>CRNP-BLK</v>
      </c>
      <c r="B58" s="10" t="str">
        <f>T3_SKU!B58</f>
        <v>CRNP</v>
      </c>
      <c r="C58" s="10" t="str">
        <f t="array" ref="C58">IFERROR(INDEX(T2_GroupSKU!$B:$B,MATCH(B58,T2_GroupSKU!$A:$A,0)),"")</f>
        <v>Corner Protector</v>
      </c>
      <c r="D58" s="10" t="str">
        <f t="array" ref="D58">IFERROR(INDEX(T1_ProductType!$B:$B,MATCH(INDEX(T2_GroupSKU!$C:$C,MATCH(B58,T2_GroupSKU!$A:$A,0)),T1_ProductType!$A:$A,0)),"")</f>
        <v>Corner Protector</v>
      </c>
      <c r="E58" s="10" t="str">
        <f t="array" ref="E58">IFERROR(INDEX(T1_ProductType!$C:$C,MATCH(INDEX(T2_GroupSKU!$C:$C,MATCH(B58,T2_GroupSKU!$A:$A,0)),T1_ProductType!$A:$A,0)),"")</f>
        <v>Accessory</v>
      </c>
      <c r="F58" s="10" t="str">
        <f t="array" ref="F58">IFERROR(INDEX(T1_ProductType!$D:$D,MATCH(INDEX(T2_GroupSKU!$C:$C,MATCH(B58,T2_GroupSKU!$A:$A,0)),T1_ProductType!$A:$A,0)),"")</f>
        <v>Plastic Barrels</v>
      </c>
      <c r="G58" s="10" t="str">
        <f t="array" ref="G58">IFERROR(IF(INDEX(T1_ProductType!$E:$E,MATCH(INDEX(T2_GroupSKU!$C:$C,MATCH(B58,T2_GroupSKU!$A:$A,0)),T1_ProductType!$A:$A,0))="","-",INDEX(T1_ProductType!$E:$E,MATCH(INDEX(T2_GroupSKU!$C:$C,MATCH(B58,T2_GroupSKU!$A:$A,0)),T1_ProductType!$A:$A,0))),"-")</f>
        <v>-</v>
      </c>
      <c r="H58" s="10" t="str">
        <f t="array" ref="H58">IFERROR(IF(INDEX(T2_GroupSKU!$D:$D,MATCH(B58,T2_GroupSKU!$A:$A,0))="","-",INDEX(T2_GroupSKU!$D:$D,MATCH(B58,T2_GroupSKU!$A:$A,0))),"-")</f>
        <v>-</v>
      </c>
      <c r="I58" s="10" t="str">
        <f t="array" ref="I58">IFERROR(IF(INDEX(T2_GroupSKU!$E:$E,MATCH(B58,T2_GroupSKU!$A:$A,0))="","-",INDEX(T2_GroupSKU!$E:$E,MATCH(B58,T2_GroupSKU!$A:$A,0))),"-")</f>
        <v>-</v>
      </c>
      <c r="J58" s="10" t="str">
        <f>T3_SKU!C58</f>
        <v>Black</v>
      </c>
      <c r="K58" s="10" t="str">
        <f>T3_SKU!D58</f>
        <v>CORNER PROTECTOR (BLACK)</v>
      </c>
      <c r="L58" s="10" t="str">
        <f>T3_SKU!E58</f>
        <v>NOS</v>
      </c>
      <c r="M58" s="10" t="str">
        <f>T3_SKU!F58</f>
        <v>               </v>
      </c>
    </row>
    <row r="59" ht="15.0" customHeight="1">
      <c r="A59" s="10" t="str">
        <f>T3_SKU!A59</f>
        <v>CRNP-RED</v>
      </c>
      <c r="B59" s="10" t="str">
        <f>T3_SKU!B59</f>
        <v>CRNP</v>
      </c>
      <c r="C59" s="10" t="str">
        <f t="array" ref="C59">IFERROR(INDEX(T2_GroupSKU!$B:$B,MATCH(B59,T2_GroupSKU!$A:$A,0)),"")</f>
        <v>Corner Protector</v>
      </c>
      <c r="D59" s="10" t="str">
        <f t="array" ref="D59">IFERROR(INDEX(T1_ProductType!$B:$B,MATCH(INDEX(T2_GroupSKU!$C:$C,MATCH(B59,T2_GroupSKU!$A:$A,0)),T1_ProductType!$A:$A,0)),"")</f>
        <v>Corner Protector</v>
      </c>
      <c r="E59" s="10" t="str">
        <f t="array" ref="E59">IFERROR(INDEX(T1_ProductType!$C:$C,MATCH(INDEX(T2_GroupSKU!$C:$C,MATCH(B59,T2_GroupSKU!$A:$A,0)),T1_ProductType!$A:$A,0)),"")</f>
        <v>Accessory</v>
      </c>
      <c r="F59" s="10" t="str">
        <f t="array" ref="F59">IFERROR(INDEX(T1_ProductType!$D:$D,MATCH(INDEX(T2_GroupSKU!$C:$C,MATCH(B59,T2_GroupSKU!$A:$A,0)),T1_ProductType!$A:$A,0)),"")</f>
        <v>Plastic Barrels</v>
      </c>
      <c r="G59" s="10" t="str">
        <f t="array" ref="G59">IFERROR(IF(INDEX(T1_ProductType!$E:$E,MATCH(INDEX(T2_GroupSKU!$C:$C,MATCH(B59,T2_GroupSKU!$A:$A,0)),T1_ProductType!$A:$A,0))="","-",INDEX(T1_ProductType!$E:$E,MATCH(INDEX(T2_GroupSKU!$C:$C,MATCH(B59,T2_GroupSKU!$A:$A,0)),T1_ProductType!$A:$A,0))),"-")</f>
        <v>-</v>
      </c>
      <c r="H59" s="10" t="str">
        <f t="array" ref="H59">IFERROR(IF(INDEX(T2_GroupSKU!$D:$D,MATCH(B59,T2_GroupSKU!$A:$A,0))="","-",INDEX(T2_GroupSKU!$D:$D,MATCH(B59,T2_GroupSKU!$A:$A,0))),"-")</f>
        <v>-</v>
      </c>
      <c r="I59" s="10" t="str">
        <f t="array" ref="I59">IFERROR(IF(INDEX(T2_GroupSKU!$E:$E,MATCH(B59,T2_GroupSKU!$A:$A,0))="","-",INDEX(T2_GroupSKU!$E:$E,MATCH(B59,T2_GroupSKU!$A:$A,0))),"-")</f>
        <v>-</v>
      </c>
      <c r="J59" s="10" t="str">
        <f>T3_SKU!C59</f>
        <v>Red</v>
      </c>
      <c r="K59" s="10" t="str">
        <f>T3_SKU!D59</f>
        <v>CORNER PROTECTOR (RED)</v>
      </c>
      <c r="L59" s="10" t="str">
        <f>T3_SKU!E59</f>
        <v>NOS</v>
      </c>
      <c r="M59" s="10" t="str">
        <f>T3_SKU!F59</f>
        <v/>
      </c>
    </row>
    <row r="60" ht="15.0" customHeight="1">
      <c r="A60" s="10" t="str">
        <f>T3_SKU!A60</f>
        <v>CRNP-YEL</v>
      </c>
      <c r="B60" s="10" t="str">
        <f>T3_SKU!B60</f>
        <v>CRNP</v>
      </c>
      <c r="C60" s="10" t="str">
        <f t="array" ref="C60">IFERROR(INDEX(T2_GroupSKU!$B:$B,MATCH(B60,T2_GroupSKU!$A:$A,0)),"")</f>
        <v>Corner Protector</v>
      </c>
      <c r="D60" s="10" t="str">
        <f t="array" ref="D60">IFERROR(INDEX(T1_ProductType!$B:$B,MATCH(INDEX(T2_GroupSKU!$C:$C,MATCH(B60,T2_GroupSKU!$A:$A,0)),T1_ProductType!$A:$A,0)),"")</f>
        <v>Corner Protector</v>
      </c>
      <c r="E60" s="10" t="str">
        <f t="array" ref="E60">IFERROR(INDEX(T1_ProductType!$C:$C,MATCH(INDEX(T2_GroupSKU!$C:$C,MATCH(B60,T2_GroupSKU!$A:$A,0)),T1_ProductType!$A:$A,0)),"")</f>
        <v>Accessory</v>
      </c>
      <c r="F60" s="10" t="str">
        <f t="array" ref="F60">IFERROR(INDEX(T1_ProductType!$D:$D,MATCH(INDEX(T2_GroupSKU!$C:$C,MATCH(B60,T2_GroupSKU!$A:$A,0)),T1_ProductType!$A:$A,0)),"")</f>
        <v>Plastic Barrels</v>
      </c>
      <c r="G60" s="10" t="str">
        <f t="array" ref="G60">IFERROR(IF(INDEX(T1_ProductType!$E:$E,MATCH(INDEX(T2_GroupSKU!$C:$C,MATCH(B60,T2_GroupSKU!$A:$A,0)),T1_ProductType!$A:$A,0))="","-",INDEX(T1_ProductType!$E:$E,MATCH(INDEX(T2_GroupSKU!$C:$C,MATCH(B60,T2_GroupSKU!$A:$A,0)),T1_ProductType!$A:$A,0))),"-")</f>
        <v>-</v>
      </c>
      <c r="H60" s="10" t="str">
        <f t="array" ref="H60">IFERROR(IF(INDEX(T2_GroupSKU!$D:$D,MATCH(B60,T2_GroupSKU!$A:$A,0))="","-",INDEX(T2_GroupSKU!$D:$D,MATCH(B60,T2_GroupSKU!$A:$A,0))),"-")</f>
        <v>-</v>
      </c>
      <c r="I60" s="10" t="str">
        <f t="array" ref="I60">IFERROR(IF(INDEX(T2_GroupSKU!$E:$E,MATCH(B60,T2_GroupSKU!$A:$A,0))="","-",INDEX(T2_GroupSKU!$E:$E,MATCH(B60,T2_GroupSKU!$A:$A,0))),"-")</f>
        <v>-</v>
      </c>
      <c r="J60" s="10" t="str">
        <f>T3_SKU!C60</f>
        <v>Yellow</v>
      </c>
      <c r="K60" s="10" t="str">
        <f>T3_SKU!D60</f>
        <v>CORNER PROTECTOR (YELLOW)</v>
      </c>
      <c r="L60" s="10" t="str">
        <f>T3_SKU!E60</f>
        <v>NOS</v>
      </c>
      <c r="M60" s="10" t="str">
        <f>T3_SKU!F60</f>
        <v/>
      </c>
    </row>
    <row r="61" ht="15.0" customHeight="1">
      <c r="A61" s="10" t="str">
        <f>T3_SKU!A61</f>
        <v>DGCAP-6IN-BLK</v>
      </c>
      <c r="B61" s="10" t="str">
        <f>T3_SKU!B61</f>
        <v>DGCAP-6IN</v>
      </c>
      <c r="C61" s="10" t="str">
        <f t="array" ref="C61">IFERROR(INDEX(T2_GroupSKU!$B:$B,MATCH(B61,T2_GroupSKU!$A:$A,0)),"")</f>
        <v>DG Cap - 6.0"</v>
      </c>
      <c r="D61" s="10" t="str">
        <f t="array" ref="D61">IFERROR(INDEX(T1_ProductType!$B:$B,MATCH(INDEX(T2_GroupSKU!$C:$C,MATCH(B61,T2_GroupSKU!$A:$A,0)),T1_ProductType!$A:$A,0)),"")</f>
        <v>DG Cap</v>
      </c>
      <c r="E61" s="10" t="str">
        <f t="array" ref="E61">IFERROR(INDEX(T1_ProductType!$C:$C,MATCH(INDEX(T2_GroupSKU!$C:$C,MATCH(B61,T2_GroupSKU!$A:$A,0)),T1_ProductType!$A:$A,0)),"")</f>
        <v>Accessory</v>
      </c>
      <c r="F61" s="10" t="str">
        <f t="array" ref="F61">IFERROR(INDEX(T1_ProductType!$D:$D,MATCH(INDEX(T2_GroupSKU!$C:$C,MATCH(B61,T2_GroupSKU!$A:$A,0)),T1_ProductType!$A:$A,0)),"")</f>
        <v>Plastic Barrels</v>
      </c>
      <c r="G61" s="10" t="str">
        <f t="array" ref="G61">IFERROR(IF(INDEX(T1_ProductType!$E:$E,MATCH(INDEX(T2_GroupSKU!$C:$C,MATCH(B61,T2_GroupSKU!$A:$A,0)),T1_ProductType!$A:$A,0))="","-",INDEX(T1_ProductType!$E:$E,MATCH(INDEX(T2_GroupSKU!$C:$C,MATCH(B61,T2_GroupSKU!$A:$A,0)),T1_ProductType!$A:$A,0))),"-")</f>
        <v>-</v>
      </c>
      <c r="H61" s="10">
        <f t="array" ref="H61">IFERROR(IF(INDEX(T2_GroupSKU!$D:$D,MATCH(B61,T2_GroupSKU!$A:$A,0))="","-",INDEX(T2_GroupSKU!$D:$D,MATCH(B61,T2_GroupSKU!$A:$A,0))),"-")</f>
        <v>6</v>
      </c>
      <c r="I61" s="10" t="str">
        <f t="array" ref="I61">IFERROR(IF(INDEX(T2_GroupSKU!$E:$E,MATCH(B61,T2_GroupSKU!$A:$A,0))="","-",INDEX(T2_GroupSKU!$E:$E,MATCH(B61,T2_GroupSKU!$A:$A,0))),"-")</f>
        <v>INCH</v>
      </c>
      <c r="J61" s="10" t="str">
        <f>T3_SKU!C61</f>
        <v>Black / Ibc</v>
      </c>
      <c r="K61" s="10" t="str">
        <f>T3_SKU!D61</f>
        <v>6" DG CAP BLACK (IBC)</v>
      </c>
      <c r="L61" s="10" t="str">
        <f>T3_SKU!E61</f>
        <v>NOS</v>
      </c>
      <c r="M61" s="10" t="str">
        <f>T3_SKU!F61</f>
        <v>39235010</v>
      </c>
    </row>
    <row r="62" ht="15.0" customHeight="1">
      <c r="A62" s="10" t="str">
        <f>T3_SKU!A62</f>
        <v>DGCAP-6IN-RED</v>
      </c>
      <c r="B62" s="10" t="str">
        <f>T3_SKU!B62</f>
        <v>DGCAP-6IN</v>
      </c>
      <c r="C62" s="10" t="str">
        <f t="array" ref="C62">IFERROR(INDEX(T2_GroupSKU!$B:$B,MATCH(B62,T2_GroupSKU!$A:$A,0)),"")</f>
        <v>DG Cap - 6.0"</v>
      </c>
      <c r="D62" s="10" t="str">
        <f t="array" ref="D62">IFERROR(INDEX(T1_ProductType!$B:$B,MATCH(INDEX(T2_GroupSKU!$C:$C,MATCH(B62,T2_GroupSKU!$A:$A,0)),T1_ProductType!$A:$A,0)),"")</f>
        <v>DG Cap</v>
      </c>
      <c r="E62" s="10" t="str">
        <f t="array" ref="E62">IFERROR(INDEX(T1_ProductType!$C:$C,MATCH(INDEX(T2_GroupSKU!$C:$C,MATCH(B62,T2_GroupSKU!$A:$A,0)),T1_ProductType!$A:$A,0)),"")</f>
        <v>Accessory</v>
      </c>
      <c r="F62" s="10" t="str">
        <f t="array" ref="F62">IFERROR(INDEX(T1_ProductType!$D:$D,MATCH(INDEX(T2_GroupSKU!$C:$C,MATCH(B62,T2_GroupSKU!$A:$A,0)),T1_ProductType!$A:$A,0)),"")</f>
        <v>Plastic Barrels</v>
      </c>
      <c r="G62" s="10" t="str">
        <f t="array" ref="G62">IFERROR(IF(INDEX(T1_ProductType!$E:$E,MATCH(INDEX(T2_GroupSKU!$C:$C,MATCH(B62,T2_GroupSKU!$A:$A,0)),T1_ProductType!$A:$A,0))="","-",INDEX(T1_ProductType!$E:$E,MATCH(INDEX(T2_GroupSKU!$C:$C,MATCH(B62,T2_GroupSKU!$A:$A,0)),T1_ProductType!$A:$A,0))),"-")</f>
        <v>-</v>
      </c>
      <c r="H62" s="10">
        <f t="array" ref="H62">IFERROR(IF(INDEX(T2_GroupSKU!$D:$D,MATCH(B62,T2_GroupSKU!$A:$A,0))="","-",INDEX(T2_GroupSKU!$D:$D,MATCH(B62,T2_GroupSKU!$A:$A,0))),"-")</f>
        <v>6</v>
      </c>
      <c r="I62" s="10" t="str">
        <f t="array" ref="I62">IFERROR(IF(INDEX(T2_GroupSKU!$E:$E,MATCH(B62,T2_GroupSKU!$A:$A,0))="","-",INDEX(T2_GroupSKU!$E:$E,MATCH(B62,T2_GroupSKU!$A:$A,0))),"-")</f>
        <v>INCH</v>
      </c>
      <c r="J62" s="10" t="str">
        <f>T3_SKU!C62</f>
        <v>Red / Ibc</v>
      </c>
      <c r="K62" s="10" t="str">
        <f>T3_SKU!D62</f>
        <v>6" DG CAP RED (IBC)</v>
      </c>
      <c r="L62" s="10" t="str">
        <f>T3_SKU!E62</f>
        <v>NOS</v>
      </c>
      <c r="M62" s="10" t="str">
        <f>T3_SKU!F62</f>
        <v>39235010</v>
      </c>
    </row>
    <row r="63" ht="15.0" customHeight="1">
      <c r="A63" s="10" t="str">
        <f>T3_SKU!A63</f>
        <v>DMYCAP-BLK</v>
      </c>
      <c r="B63" s="10" t="str">
        <f>T3_SKU!B63</f>
        <v>DMYCAP</v>
      </c>
      <c r="C63" s="10" t="str">
        <f t="array" ref="C63">IFERROR(INDEX(T2_GroupSKU!$B:$B,MATCH(B63,T2_GroupSKU!$A:$A,0)),"")</f>
        <v>Dummy Cap</v>
      </c>
      <c r="D63" s="10" t="str">
        <f t="array" ref="D63">IFERROR(INDEX(T1_ProductType!$B:$B,MATCH(INDEX(T2_GroupSKU!$C:$C,MATCH(B63,T2_GroupSKU!$A:$A,0)),T1_ProductType!$A:$A,0)),"")</f>
        <v>Dummy Cap</v>
      </c>
      <c r="E63" s="10" t="str">
        <f t="array" ref="E63">IFERROR(INDEX(T1_ProductType!$C:$C,MATCH(INDEX(T2_GroupSKU!$C:$C,MATCH(B63,T2_GroupSKU!$A:$A,0)),T1_ProductType!$A:$A,0)),"")</f>
        <v>Accessory</v>
      </c>
      <c r="F63" s="10" t="str">
        <f t="array" ref="F63">IFERROR(INDEX(T1_ProductType!$D:$D,MATCH(INDEX(T2_GroupSKU!$C:$C,MATCH(B63,T2_GroupSKU!$A:$A,0)),T1_ProductType!$A:$A,0)),"")</f>
        <v>Plastic Barrels</v>
      </c>
      <c r="G63" s="10" t="str">
        <f t="array" ref="G63">IFERROR(IF(INDEX(T1_ProductType!$E:$E,MATCH(INDEX(T2_GroupSKU!$C:$C,MATCH(B63,T2_GroupSKU!$A:$A,0)),T1_ProductType!$A:$A,0))="","-",INDEX(T1_ProductType!$E:$E,MATCH(INDEX(T2_GroupSKU!$C:$C,MATCH(B63,T2_GroupSKU!$A:$A,0)),T1_ProductType!$A:$A,0))),"-")</f>
        <v>-</v>
      </c>
      <c r="H63" s="10" t="str">
        <f t="array" ref="H63">IFERROR(IF(INDEX(T2_GroupSKU!$D:$D,MATCH(B63,T2_GroupSKU!$A:$A,0))="","-",INDEX(T2_GroupSKU!$D:$D,MATCH(B63,T2_GroupSKU!$A:$A,0))),"-")</f>
        <v>-</v>
      </c>
      <c r="I63" s="10" t="str">
        <f t="array" ref="I63">IFERROR(IF(INDEX(T2_GroupSKU!$E:$E,MATCH(B63,T2_GroupSKU!$A:$A,0))="","-",INDEX(T2_GroupSKU!$E:$E,MATCH(B63,T2_GroupSKU!$A:$A,0))),"-")</f>
        <v>-</v>
      </c>
      <c r="J63" s="10" t="str">
        <f>T3_SKU!C63</f>
        <v>Black</v>
      </c>
      <c r="K63" s="10" t="str">
        <f>T3_SKU!D63</f>
        <v>DUMMY CAP BLACK</v>
      </c>
      <c r="L63" s="10" t="str">
        <f>T3_SKU!E63</f>
        <v>NOS</v>
      </c>
      <c r="M63" s="10" t="str">
        <f>T3_SKU!F63</f>
        <v>39235010</v>
      </c>
    </row>
    <row r="64" ht="15.0" customHeight="1">
      <c r="A64" s="10" t="str">
        <f>T3_SKU!A64</f>
        <v>DMYCAP-V9</v>
      </c>
      <c r="B64" s="10" t="str">
        <f>T3_SKU!B64</f>
        <v>DMYCAP</v>
      </c>
      <c r="C64" s="10" t="str">
        <f t="array" ref="C64">IFERROR(INDEX(T2_GroupSKU!$B:$B,MATCH(B64,T2_GroupSKU!$A:$A,0)),"")</f>
        <v>Dummy Cap</v>
      </c>
      <c r="D64" s="10" t="str">
        <f t="array" ref="D64">IFERROR(INDEX(T1_ProductType!$B:$B,MATCH(INDEX(T2_GroupSKU!$C:$C,MATCH(B64,T2_GroupSKU!$A:$A,0)),T1_ProductType!$A:$A,0)),"")</f>
        <v>Dummy Cap</v>
      </c>
      <c r="E64" s="10" t="str">
        <f t="array" ref="E64">IFERROR(INDEX(T1_ProductType!$C:$C,MATCH(INDEX(T2_GroupSKU!$C:$C,MATCH(B64,T2_GroupSKU!$A:$A,0)),T1_ProductType!$A:$A,0)),"")</f>
        <v>Accessory</v>
      </c>
      <c r="F64" s="10" t="str">
        <f t="array" ref="F64">IFERROR(INDEX(T1_ProductType!$D:$D,MATCH(INDEX(T2_GroupSKU!$C:$C,MATCH(B64,T2_GroupSKU!$A:$A,0)),T1_ProductType!$A:$A,0)),"")</f>
        <v>Plastic Barrels</v>
      </c>
      <c r="G64" s="10" t="str">
        <f t="array" ref="G64">IFERROR(IF(INDEX(T1_ProductType!$E:$E,MATCH(INDEX(T2_GroupSKU!$C:$C,MATCH(B64,T2_GroupSKU!$A:$A,0)),T1_ProductType!$A:$A,0))="","-",INDEX(T1_ProductType!$E:$E,MATCH(INDEX(T2_GroupSKU!$C:$C,MATCH(B64,T2_GroupSKU!$A:$A,0)),T1_ProductType!$A:$A,0))),"-")</f>
        <v>-</v>
      </c>
      <c r="H64" s="10" t="str">
        <f t="array" ref="H64">IFERROR(IF(INDEX(T2_GroupSKU!$D:$D,MATCH(B64,T2_GroupSKU!$A:$A,0))="","-",INDEX(T2_GroupSKU!$D:$D,MATCH(B64,T2_GroupSKU!$A:$A,0))),"-")</f>
        <v>-</v>
      </c>
      <c r="I64" s="10" t="str">
        <f t="array" ref="I64">IFERROR(IF(INDEX(T2_GroupSKU!$E:$E,MATCH(B64,T2_GroupSKU!$A:$A,0))="","-",INDEX(T2_GroupSKU!$E:$E,MATCH(B64,T2_GroupSKU!$A:$A,0))),"-")</f>
        <v>-</v>
      </c>
      <c r="J64" s="10" t="str">
        <f>T3_SKU!C64</f>
        <v>50mm</v>
      </c>
      <c r="K64" s="10" t="str">
        <f>T3_SKU!D64</f>
        <v>50 MM DUMMY CAP</v>
      </c>
      <c r="L64" s="10" t="str">
        <f>T3_SKU!E64</f>
        <v>NOS</v>
      </c>
      <c r="M64" s="10" t="str">
        <f>T3_SKU!F64</f>
        <v>39235010</v>
      </c>
    </row>
    <row r="65" ht="15.0" customHeight="1">
      <c r="A65" s="10" t="str">
        <f>T3_SKU!A65</f>
        <v>DRPN-V416</v>
      </c>
      <c r="B65" s="10" t="str">
        <f>T3_SKU!B65</f>
        <v>DRPN</v>
      </c>
      <c r="C65" s="10" t="str">
        <f t="array" ref="C65">IFERROR(INDEX(T2_GroupSKU!$B:$B,MATCH(B65,T2_GroupSKU!$A:$A,0)),"")</f>
        <v>Drip Pan</v>
      </c>
      <c r="D65" s="10" t="str">
        <f t="array" ref="D65">IFERROR(INDEX(T1_ProductType!$B:$B,MATCH(INDEX(T2_GroupSKU!$C:$C,MATCH(B65,T2_GroupSKU!$A:$A,0)),T1_ProductType!$A:$A,0)),"")</f>
        <v>Drip Pan</v>
      </c>
      <c r="E65" s="10" t="str">
        <f t="array" ref="E65">IFERROR(INDEX(T1_ProductType!$C:$C,MATCH(INDEX(T2_GroupSKU!$C:$C,MATCH(B65,T2_GroupSKU!$A:$A,0)),T1_ProductType!$A:$A,0)),"")</f>
        <v>Accessory</v>
      </c>
      <c r="F65" s="10" t="str">
        <f t="array" ref="F65">IFERROR(INDEX(T1_ProductType!$D:$D,MATCH(INDEX(T2_GroupSKU!$C:$C,MATCH(B65,T2_GroupSKU!$A:$A,0)),T1_ProductType!$A:$A,0)),"")</f>
        <v>Plastic Barrels</v>
      </c>
      <c r="G65" s="10" t="str">
        <f t="array" ref="G65">IFERROR(IF(INDEX(T1_ProductType!$E:$E,MATCH(INDEX(T2_GroupSKU!$C:$C,MATCH(B65,T2_GroupSKU!$A:$A,0)),T1_ProductType!$A:$A,0))="","-",INDEX(T1_ProductType!$E:$E,MATCH(INDEX(T2_GroupSKU!$C:$C,MATCH(B65,T2_GroupSKU!$A:$A,0)),T1_ProductType!$A:$A,0))),"-")</f>
        <v>-</v>
      </c>
      <c r="H65" s="10" t="str">
        <f t="array" ref="H65">IFERROR(IF(INDEX(T2_GroupSKU!$D:$D,MATCH(B65,T2_GroupSKU!$A:$A,0))="","-",INDEX(T2_GroupSKU!$D:$D,MATCH(B65,T2_GroupSKU!$A:$A,0))),"-")</f>
        <v>-</v>
      </c>
      <c r="I65" s="10" t="str">
        <f t="array" ref="I65">IFERROR(IF(INDEX(T2_GroupSKU!$E:$E,MATCH(B65,T2_GroupSKU!$A:$A,0))="","-",INDEX(T2_GroupSKU!$E:$E,MATCH(B65,T2_GroupSKU!$A:$A,0))),"-")</f>
        <v>-</v>
      </c>
      <c r="J65" s="10" t="str">
        <f>T3_SKU!C65</f>
        <v>DRIP PAN</v>
      </c>
      <c r="K65" s="10" t="str">
        <f>T3_SKU!D65</f>
        <v>DRIP PAN</v>
      </c>
      <c r="L65" s="10" t="str">
        <f>T3_SKU!E65</f>
        <v>NOS</v>
      </c>
      <c r="M65" s="10" t="str">
        <f>T3_SKU!F65</f>
        <v>39235010</v>
      </c>
    </row>
    <row r="66" ht="15.0" customHeight="1">
      <c r="A66" s="10" t="str">
        <f>T3_SKU!A66</f>
        <v>ELB-V426</v>
      </c>
      <c r="B66" s="10" t="str">
        <f>T3_SKU!B66</f>
        <v>ELB</v>
      </c>
      <c r="C66" s="10" t="str">
        <f t="array" ref="C66">IFERROR(INDEX(T2_GroupSKU!$B:$B,MATCH(B66,T2_GroupSKU!$A:$A,0)),"")</f>
        <v>Elbow (IBC)</v>
      </c>
      <c r="D66" s="10" t="str">
        <f t="array" ref="D66">IFERROR(INDEX(T1_ProductType!$B:$B,MATCH(INDEX(T2_GroupSKU!$C:$C,MATCH(B66,T2_GroupSKU!$A:$A,0)),T1_ProductType!$A:$A,0)),"")</f>
        <v>Elbow (IBC)</v>
      </c>
      <c r="E66" s="10" t="str">
        <f t="array" ref="E66">IFERROR(INDEX(T1_ProductType!$C:$C,MATCH(INDEX(T2_GroupSKU!$C:$C,MATCH(B66,T2_GroupSKU!$A:$A,0)),T1_ProductType!$A:$A,0)),"")</f>
        <v>Accessory</v>
      </c>
      <c r="F66" s="10" t="str">
        <f t="array" ref="F66">IFERROR(INDEX(T1_ProductType!$D:$D,MATCH(INDEX(T2_GroupSKU!$C:$C,MATCH(B66,T2_GroupSKU!$A:$A,0)),T1_ProductType!$A:$A,0)),"")</f>
        <v>Plastic Barrels</v>
      </c>
      <c r="G66" s="10" t="str">
        <f t="array" ref="G66">IFERROR(IF(INDEX(T1_ProductType!$E:$E,MATCH(INDEX(T2_GroupSKU!$C:$C,MATCH(B66,T2_GroupSKU!$A:$A,0)),T1_ProductType!$A:$A,0))="","-",INDEX(T1_ProductType!$E:$E,MATCH(INDEX(T2_GroupSKU!$C:$C,MATCH(B66,T2_GroupSKU!$A:$A,0)),T1_ProductType!$A:$A,0))),"-")</f>
        <v>-</v>
      </c>
      <c r="H66" s="10" t="str">
        <f t="array" ref="H66">IFERROR(IF(INDEX(T2_GroupSKU!$D:$D,MATCH(B66,T2_GroupSKU!$A:$A,0))="","-",INDEX(T2_GroupSKU!$D:$D,MATCH(B66,T2_GroupSKU!$A:$A,0))),"-")</f>
        <v>-</v>
      </c>
      <c r="I66" s="10" t="str">
        <f t="array" ref="I66">IFERROR(IF(INDEX(T2_GroupSKU!$E:$E,MATCH(B66,T2_GroupSKU!$A:$A,0))="","-",INDEX(T2_GroupSKU!$E:$E,MATCH(B66,T2_GroupSKU!$A:$A,0))),"-")</f>
        <v>-</v>
      </c>
      <c r="J66" s="10" t="str">
        <f>T3_SKU!C66</f>
        <v>Ibc</v>
      </c>
      <c r="K66" s="10" t="str">
        <f>T3_SKU!D66</f>
        <v>ELBOW (IBC)</v>
      </c>
      <c r="L66" s="10" t="str">
        <f>T3_SKU!E66</f>
        <v>NOS</v>
      </c>
      <c r="M66" s="10" t="str">
        <f>T3_SKU!F66</f>
        <v>39235010</v>
      </c>
    </row>
    <row r="67" ht="15.0" customHeight="1">
      <c r="A67" s="10" t="str">
        <f>T3_SKU!A67</f>
        <v>FOTCAP-10IN-BLK</v>
      </c>
      <c r="B67" s="10" t="str">
        <f>T3_SKU!B67</f>
        <v>FOTCAP-10IN</v>
      </c>
      <c r="C67" s="10" t="str">
        <f t="array" ref="C67">IFERROR(INDEX(T2_GroupSKU!$B:$B,MATCH(B67,T2_GroupSKU!$A:$A,0)),"")</f>
        <v>FOT Cap - 10.0"</v>
      </c>
      <c r="D67" s="10" t="str">
        <f t="array" ref="D67">IFERROR(INDEX(T1_ProductType!$B:$B,MATCH(INDEX(T2_GroupSKU!$C:$C,MATCH(B67,T2_GroupSKU!$A:$A,0)),T1_ProductType!$A:$A,0)),"")</f>
        <v>FOT Cap</v>
      </c>
      <c r="E67" s="10" t="str">
        <f t="array" ref="E67">IFERROR(INDEX(T1_ProductType!$C:$C,MATCH(INDEX(T2_GroupSKU!$C:$C,MATCH(B67,T2_GroupSKU!$A:$A,0)),T1_ProductType!$A:$A,0)),"")</f>
        <v>Accessory</v>
      </c>
      <c r="F67" s="10" t="str">
        <f t="array" ref="F67">IFERROR(INDEX(T1_ProductType!$D:$D,MATCH(INDEX(T2_GroupSKU!$C:$C,MATCH(B67,T2_GroupSKU!$A:$A,0)),T1_ProductType!$A:$A,0)),"")</f>
        <v>Plastic Barrels</v>
      </c>
      <c r="G67" s="10" t="str">
        <f t="array" ref="G67">IFERROR(IF(INDEX(T1_ProductType!$E:$E,MATCH(INDEX(T2_GroupSKU!$C:$C,MATCH(B67,T2_GroupSKU!$A:$A,0)),T1_ProductType!$A:$A,0))="","-",INDEX(T1_ProductType!$E:$E,MATCH(INDEX(T2_GroupSKU!$C:$C,MATCH(B67,T2_GroupSKU!$A:$A,0)),T1_ProductType!$A:$A,0))),"-")</f>
        <v>-</v>
      </c>
      <c r="H67" s="10">
        <f t="array" ref="H67">IFERROR(IF(INDEX(T2_GroupSKU!$D:$D,MATCH(B67,T2_GroupSKU!$A:$A,0))="","-",INDEX(T2_GroupSKU!$D:$D,MATCH(B67,T2_GroupSKU!$A:$A,0))),"-")</f>
        <v>10</v>
      </c>
      <c r="I67" s="10" t="str">
        <f t="array" ref="I67">IFERROR(IF(INDEX(T2_GroupSKU!$E:$E,MATCH(B67,T2_GroupSKU!$A:$A,0))="","-",INDEX(T2_GroupSKU!$E:$E,MATCH(B67,T2_GroupSKU!$A:$A,0))),"-")</f>
        <v>INCH</v>
      </c>
      <c r="J67" s="10" t="str">
        <f>T3_SKU!C67</f>
        <v>Black</v>
      </c>
      <c r="K67" s="10" t="str">
        <f>T3_SKU!D67</f>
        <v>10" FOT CAP BLACK</v>
      </c>
      <c r="L67" s="10" t="str">
        <f>T3_SKU!E67</f>
        <v>NOS</v>
      </c>
      <c r="M67" s="10" t="str">
        <f>T3_SKU!F67</f>
        <v>39235010</v>
      </c>
    </row>
    <row r="68" ht="15.0" customHeight="1">
      <c r="A68" s="10" t="str">
        <f>T3_SKU!A68</f>
        <v>FOTCAP-10IN-BLU</v>
      </c>
      <c r="B68" s="10" t="str">
        <f>T3_SKU!B68</f>
        <v>FOTCAP-10IN</v>
      </c>
      <c r="C68" s="10" t="str">
        <f t="array" ref="C68">IFERROR(INDEX(T2_GroupSKU!$B:$B,MATCH(B68,T2_GroupSKU!$A:$A,0)),"")</f>
        <v>FOT Cap - 10.0"</v>
      </c>
      <c r="D68" s="10" t="str">
        <f t="array" ref="D68">IFERROR(INDEX(T1_ProductType!$B:$B,MATCH(INDEX(T2_GroupSKU!$C:$C,MATCH(B68,T2_GroupSKU!$A:$A,0)),T1_ProductType!$A:$A,0)),"")</f>
        <v>FOT Cap</v>
      </c>
      <c r="E68" s="10" t="str">
        <f t="array" ref="E68">IFERROR(INDEX(T1_ProductType!$C:$C,MATCH(INDEX(T2_GroupSKU!$C:$C,MATCH(B68,T2_GroupSKU!$A:$A,0)),T1_ProductType!$A:$A,0)),"")</f>
        <v>Accessory</v>
      </c>
      <c r="F68" s="10" t="str">
        <f t="array" ref="F68">IFERROR(INDEX(T1_ProductType!$D:$D,MATCH(INDEX(T2_GroupSKU!$C:$C,MATCH(B68,T2_GroupSKU!$A:$A,0)),T1_ProductType!$A:$A,0)),"")</f>
        <v>Plastic Barrels</v>
      </c>
      <c r="G68" s="10" t="str">
        <f t="array" ref="G68">IFERROR(IF(INDEX(T1_ProductType!$E:$E,MATCH(INDEX(T2_GroupSKU!$C:$C,MATCH(B68,T2_GroupSKU!$A:$A,0)),T1_ProductType!$A:$A,0))="","-",INDEX(T1_ProductType!$E:$E,MATCH(INDEX(T2_GroupSKU!$C:$C,MATCH(B68,T2_GroupSKU!$A:$A,0)),T1_ProductType!$A:$A,0))),"-")</f>
        <v>-</v>
      </c>
      <c r="H68" s="10">
        <f t="array" ref="H68">IFERROR(IF(INDEX(T2_GroupSKU!$D:$D,MATCH(B68,T2_GroupSKU!$A:$A,0))="","-",INDEX(T2_GroupSKU!$D:$D,MATCH(B68,T2_GroupSKU!$A:$A,0))),"-")</f>
        <v>10</v>
      </c>
      <c r="I68" s="10" t="str">
        <f t="array" ref="I68">IFERROR(IF(INDEX(T2_GroupSKU!$E:$E,MATCH(B68,T2_GroupSKU!$A:$A,0))="","-",INDEX(T2_GroupSKU!$E:$E,MATCH(B68,T2_GroupSKU!$A:$A,0))),"-")</f>
        <v>INCH</v>
      </c>
      <c r="J68" s="10" t="str">
        <f>T3_SKU!C68</f>
        <v>Blue</v>
      </c>
      <c r="K68" s="10" t="str">
        <f>T3_SKU!D68</f>
        <v>10" FOT CAP BLUE</v>
      </c>
      <c r="L68" s="10" t="str">
        <f>T3_SKU!E68</f>
        <v>NOS</v>
      </c>
      <c r="M68" s="10" t="str">
        <f>T3_SKU!F68</f>
        <v>39235010</v>
      </c>
    </row>
    <row r="69" ht="15.0" customHeight="1">
      <c r="A69" s="10" t="str">
        <f>T3_SKU!A69</f>
        <v>FOTCAP-14IN-BLK</v>
      </c>
      <c r="B69" s="10" t="str">
        <f>T3_SKU!B69</f>
        <v>FOTCAP-14IN</v>
      </c>
      <c r="C69" s="10" t="str">
        <f t="array" ref="C69">IFERROR(INDEX(T2_GroupSKU!$B:$B,MATCH(B69,T2_GroupSKU!$A:$A,0)),"")</f>
        <v>FOT Cap - 14.0"</v>
      </c>
      <c r="D69" s="10" t="str">
        <f t="array" ref="D69">IFERROR(INDEX(T1_ProductType!$B:$B,MATCH(INDEX(T2_GroupSKU!$C:$C,MATCH(B69,T2_GroupSKU!$A:$A,0)),T1_ProductType!$A:$A,0)),"")</f>
        <v>FOT Cap</v>
      </c>
      <c r="E69" s="10" t="str">
        <f t="array" ref="E69">IFERROR(INDEX(T1_ProductType!$C:$C,MATCH(INDEX(T2_GroupSKU!$C:$C,MATCH(B69,T2_GroupSKU!$A:$A,0)),T1_ProductType!$A:$A,0)),"")</f>
        <v>Accessory</v>
      </c>
      <c r="F69" s="10" t="str">
        <f t="array" ref="F69">IFERROR(INDEX(T1_ProductType!$D:$D,MATCH(INDEX(T2_GroupSKU!$C:$C,MATCH(B69,T2_GroupSKU!$A:$A,0)),T1_ProductType!$A:$A,0)),"")</f>
        <v>Plastic Barrels</v>
      </c>
      <c r="G69" s="10" t="str">
        <f t="array" ref="G69">IFERROR(IF(INDEX(T1_ProductType!$E:$E,MATCH(INDEX(T2_GroupSKU!$C:$C,MATCH(B69,T2_GroupSKU!$A:$A,0)),T1_ProductType!$A:$A,0))="","-",INDEX(T1_ProductType!$E:$E,MATCH(INDEX(T2_GroupSKU!$C:$C,MATCH(B69,T2_GroupSKU!$A:$A,0)),T1_ProductType!$A:$A,0))),"-")</f>
        <v>-</v>
      </c>
      <c r="H69" s="10">
        <f t="array" ref="H69">IFERROR(IF(INDEX(T2_GroupSKU!$D:$D,MATCH(B69,T2_GroupSKU!$A:$A,0))="","-",INDEX(T2_GroupSKU!$D:$D,MATCH(B69,T2_GroupSKU!$A:$A,0))),"-")</f>
        <v>14</v>
      </c>
      <c r="I69" s="10" t="str">
        <f t="array" ref="I69">IFERROR(IF(INDEX(T2_GroupSKU!$E:$E,MATCH(B69,T2_GroupSKU!$A:$A,0))="","-",INDEX(T2_GroupSKU!$E:$E,MATCH(B69,T2_GroupSKU!$A:$A,0))),"-")</f>
        <v>INCH</v>
      </c>
      <c r="J69" s="10" t="str">
        <f>T3_SKU!C69</f>
        <v>Black</v>
      </c>
      <c r="K69" s="10" t="str">
        <f>T3_SKU!D69</f>
        <v>14" FOT CAP BLACK</v>
      </c>
      <c r="L69" s="10" t="str">
        <f>T3_SKU!E69</f>
        <v>NOS</v>
      </c>
      <c r="M69" s="10" t="str">
        <f>T3_SKU!F69</f>
        <v>39235010</v>
      </c>
    </row>
    <row r="70" ht="15.0" customHeight="1">
      <c r="A70" s="10" t="str">
        <f>T3_SKU!A70</f>
        <v>FOTCAP-14IN-BLU</v>
      </c>
      <c r="B70" s="10" t="str">
        <f>T3_SKU!B70</f>
        <v>FOTCAP-14IN</v>
      </c>
      <c r="C70" s="10" t="str">
        <f t="array" ref="C70">IFERROR(INDEX(T2_GroupSKU!$B:$B,MATCH(B70,T2_GroupSKU!$A:$A,0)),"")</f>
        <v>FOT Cap - 14.0"</v>
      </c>
      <c r="D70" s="10" t="str">
        <f t="array" ref="D70">IFERROR(INDEX(T1_ProductType!$B:$B,MATCH(INDEX(T2_GroupSKU!$C:$C,MATCH(B70,T2_GroupSKU!$A:$A,0)),T1_ProductType!$A:$A,0)),"")</f>
        <v>FOT Cap</v>
      </c>
      <c r="E70" s="10" t="str">
        <f t="array" ref="E70">IFERROR(INDEX(T1_ProductType!$C:$C,MATCH(INDEX(T2_GroupSKU!$C:$C,MATCH(B70,T2_GroupSKU!$A:$A,0)),T1_ProductType!$A:$A,0)),"")</f>
        <v>Accessory</v>
      </c>
      <c r="F70" s="10" t="str">
        <f t="array" ref="F70">IFERROR(INDEX(T1_ProductType!$D:$D,MATCH(INDEX(T2_GroupSKU!$C:$C,MATCH(B70,T2_GroupSKU!$A:$A,0)),T1_ProductType!$A:$A,0)),"")</f>
        <v>Plastic Barrels</v>
      </c>
      <c r="G70" s="10" t="str">
        <f t="array" ref="G70">IFERROR(IF(INDEX(T1_ProductType!$E:$E,MATCH(INDEX(T2_GroupSKU!$C:$C,MATCH(B70,T2_GroupSKU!$A:$A,0)),T1_ProductType!$A:$A,0))="","-",INDEX(T1_ProductType!$E:$E,MATCH(INDEX(T2_GroupSKU!$C:$C,MATCH(B70,T2_GroupSKU!$A:$A,0)),T1_ProductType!$A:$A,0))),"-")</f>
        <v>-</v>
      </c>
      <c r="H70" s="10">
        <f t="array" ref="H70">IFERROR(IF(INDEX(T2_GroupSKU!$D:$D,MATCH(B70,T2_GroupSKU!$A:$A,0))="","-",INDEX(T2_GroupSKU!$D:$D,MATCH(B70,T2_GroupSKU!$A:$A,0))),"-")</f>
        <v>14</v>
      </c>
      <c r="I70" s="10" t="str">
        <f t="array" ref="I70">IFERROR(IF(INDEX(T2_GroupSKU!$E:$E,MATCH(B70,T2_GroupSKU!$A:$A,0))="","-",INDEX(T2_GroupSKU!$E:$E,MATCH(B70,T2_GroupSKU!$A:$A,0))),"-")</f>
        <v>INCH</v>
      </c>
      <c r="J70" s="10" t="str">
        <f>T3_SKU!C70</f>
        <v>Blue</v>
      </c>
      <c r="K70" s="10" t="str">
        <f>T3_SKU!D70</f>
        <v>14" FOT CAP BLUE</v>
      </c>
      <c r="L70" s="10" t="str">
        <f>T3_SKU!E70</f>
        <v>NOS</v>
      </c>
      <c r="M70" s="10" t="str">
        <f>T3_SKU!F70</f>
        <v>39235010</v>
      </c>
    </row>
    <row r="71" ht="15.0" customHeight="1">
      <c r="A71" s="10" t="str">
        <f>T3_SKU!A71</f>
        <v>FOTCAP-14IN-GRN</v>
      </c>
      <c r="B71" s="10" t="str">
        <f>T3_SKU!B71</f>
        <v>FOTCAP-14IN</v>
      </c>
      <c r="C71" s="10" t="str">
        <f t="array" ref="C71">IFERROR(INDEX(T2_GroupSKU!$B:$B,MATCH(B71,T2_GroupSKU!$A:$A,0)),"")</f>
        <v>FOT Cap - 14.0"</v>
      </c>
      <c r="D71" s="10" t="str">
        <f t="array" ref="D71">IFERROR(INDEX(T1_ProductType!$B:$B,MATCH(INDEX(T2_GroupSKU!$C:$C,MATCH(B71,T2_GroupSKU!$A:$A,0)),T1_ProductType!$A:$A,0)),"")</f>
        <v>FOT Cap</v>
      </c>
      <c r="E71" s="10" t="str">
        <f t="array" ref="E71">IFERROR(INDEX(T1_ProductType!$C:$C,MATCH(INDEX(T2_GroupSKU!$C:$C,MATCH(B71,T2_GroupSKU!$A:$A,0)),T1_ProductType!$A:$A,0)),"")</f>
        <v>Accessory</v>
      </c>
      <c r="F71" s="10" t="str">
        <f t="array" ref="F71">IFERROR(INDEX(T1_ProductType!$D:$D,MATCH(INDEX(T2_GroupSKU!$C:$C,MATCH(B71,T2_GroupSKU!$A:$A,0)),T1_ProductType!$A:$A,0)),"")</f>
        <v>Plastic Barrels</v>
      </c>
      <c r="G71" s="10" t="str">
        <f t="array" ref="G71">IFERROR(IF(INDEX(T1_ProductType!$E:$E,MATCH(INDEX(T2_GroupSKU!$C:$C,MATCH(B71,T2_GroupSKU!$A:$A,0)),T1_ProductType!$A:$A,0))="","-",INDEX(T1_ProductType!$E:$E,MATCH(INDEX(T2_GroupSKU!$C:$C,MATCH(B71,T2_GroupSKU!$A:$A,0)),T1_ProductType!$A:$A,0))),"-")</f>
        <v>-</v>
      </c>
      <c r="H71" s="10">
        <f t="array" ref="H71">IFERROR(IF(INDEX(T2_GroupSKU!$D:$D,MATCH(B71,T2_GroupSKU!$A:$A,0))="","-",INDEX(T2_GroupSKU!$D:$D,MATCH(B71,T2_GroupSKU!$A:$A,0))),"-")</f>
        <v>14</v>
      </c>
      <c r="I71" s="10" t="str">
        <f t="array" ref="I71">IFERROR(IF(INDEX(T2_GroupSKU!$E:$E,MATCH(B71,T2_GroupSKU!$A:$A,0))="","-",INDEX(T2_GroupSKU!$E:$E,MATCH(B71,T2_GroupSKU!$A:$A,0))),"-")</f>
        <v>INCH</v>
      </c>
      <c r="J71" s="10" t="str">
        <f>T3_SKU!C71</f>
        <v>Green</v>
      </c>
      <c r="K71" s="10" t="str">
        <f>T3_SKU!D71</f>
        <v>14" FOT CAP GREEN</v>
      </c>
      <c r="L71" s="10" t="str">
        <f>T3_SKU!E71</f>
        <v>NOS</v>
      </c>
      <c r="M71" s="10" t="str">
        <f>T3_SKU!F71</f>
        <v>39235010</v>
      </c>
    </row>
    <row r="72" ht="15.0" customHeight="1">
      <c r="A72" s="10" t="str">
        <f>T3_SKU!A72</f>
        <v>FOTCAP-21IN-BLK</v>
      </c>
      <c r="B72" s="10" t="str">
        <f>T3_SKU!B72</f>
        <v>FOTCAP-21IN</v>
      </c>
      <c r="C72" s="10" t="str">
        <f t="array" ref="C72">IFERROR(INDEX(T2_GroupSKU!$B:$B,MATCH(B72,T2_GroupSKU!$A:$A,0)),"")</f>
        <v>FOT Cap - 21.0"</v>
      </c>
      <c r="D72" s="10" t="str">
        <f t="array" ref="D72">IFERROR(INDEX(T1_ProductType!$B:$B,MATCH(INDEX(T2_GroupSKU!$C:$C,MATCH(B72,T2_GroupSKU!$A:$A,0)),T1_ProductType!$A:$A,0)),"")</f>
        <v>FOT Cap</v>
      </c>
      <c r="E72" s="10" t="str">
        <f t="array" ref="E72">IFERROR(INDEX(T1_ProductType!$C:$C,MATCH(INDEX(T2_GroupSKU!$C:$C,MATCH(B72,T2_GroupSKU!$A:$A,0)),T1_ProductType!$A:$A,0)),"")</f>
        <v>Accessory</v>
      </c>
      <c r="F72" s="10" t="str">
        <f t="array" ref="F72">IFERROR(INDEX(T1_ProductType!$D:$D,MATCH(INDEX(T2_GroupSKU!$C:$C,MATCH(B72,T2_GroupSKU!$A:$A,0)),T1_ProductType!$A:$A,0)),"")</f>
        <v>Plastic Barrels</v>
      </c>
      <c r="G72" s="10" t="str">
        <f t="array" ref="G72">IFERROR(IF(INDEX(T1_ProductType!$E:$E,MATCH(INDEX(T2_GroupSKU!$C:$C,MATCH(B72,T2_GroupSKU!$A:$A,0)),T1_ProductType!$A:$A,0))="","-",INDEX(T1_ProductType!$E:$E,MATCH(INDEX(T2_GroupSKU!$C:$C,MATCH(B72,T2_GroupSKU!$A:$A,0)),T1_ProductType!$A:$A,0))),"-")</f>
        <v>-</v>
      </c>
      <c r="H72" s="10">
        <f t="array" ref="H72">IFERROR(IF(INDEX(T2_GroupSKU!$D:$D,MATCH(B72,T2_GroupSKU!$A:$A,0))="","-",INDEX(T2_GroupSKU!$D:$D,MATCH(B72,T2_GroupSKU!$A:$A,0))),"-")</f>
        <v>21</v>
      </c>
      <c r="I72" s="10" t="str">
        <f t="array" ref="I72">IFERROR(IF(INDEX(T2_GroupSKU!$E:$E,MATCH(B72,T2_GroupSKU!$A:$A,0))="","-",INDEX(T2_GroupSKU!$E:$E,MATCH(B72,T2_GroupSKU!$A:$A,0))),"-")</f>
        <v>INCH</v>
      </c>
      <c r="J72" s="10" t="str">
        <f>T3_SKU!C72</f>
        <v>Black</v>
      </c>
      <c r="K72" s="10" t="str">
        <f>T3_SKU!D72</f>
        <v>21" FOT CAP BLACK</v>
      </c>
      <c r="L72" s="10" t="str">
        <f>T3_SKU!E72</f>
        <v>NOS</v>
      </c>
      <c r="M72" s="10" t="str">
        <f>T3_SKU!F72</f>
        <v>39235010</v>
      </c>
    </row>
    <row r="73" ht="15.0" customHeight="1">
      <c r="A73" s="10" t="str">
        <f>T3_SKU!A73</f>
        <v>FOTD-210-BLU-100KG</v>
      </c>
      <c r="B73" s="10" t="str">
        <f>T3_SKU!B73</f>
        <v>FOTD-210</v>
      </c>
      <c r="C73" s="10" t="str">
        <f t="array" ref="C73">IFERROR(INDEX(T2_GroupSKU!$B:$B,MATCH(B73,T2_GroupSKU!$A:$A,0)),"")</f>
        <v>FOT (Full Open Top) Drum - 210.0 LTR</v>
      </c>
      <c r="D73" s="10" t="str">
        <f t="array" ref="D73">IFERROR(INDEX(T1_ProductType!$B:$B,MATCH(INDEX(T2_GroupSKU!$C:$C,MATCH(B73,T2_GroupSKU!$A:$A,0)),T1_ProductType!$A:$A,0)),"")</f>
        <v>FOT (Full Open Top) Drum</v>
      </c>
      <c r="E73" s="10" t="str">
        <f t="array" ref="E73">IFERROR(INDEX(T1_ProductType!$C:$C,MATCH(INDEX(T2_GroupSKU!$C:$C,MATCH(B73,T2_GroupSKU!$A:$A,0)),T1_ProductType!$A:$A,0)),"")</f>
        <v>Drum</v>
      </c>
      <c r="F73" s="10" t="str">
        <f t="array" ref="F73">IFERROR(INDEX(T1_ProductType!$D:$D,MATCH(INDEX(T2_GroupSKU!$C:$C,MATCH(B73,T2_GroupSKU!$A:$A,0)),T1_ProductType!$A:$A,0)),"")</f>
        <v>Plastic Barrels</v>
      </c>
      <c r="G73" s="10" t="str">
        <f t="array" ref="G73">IFERROR(IF(INDEX(T1_ProductType!$E:$E,MATCH(INDEX(T2_GroupSKU!$C:$C,MATCH(B73,T2_GroupSKU!$A:$A,0)),T1_ProductType!$A:$A,0))="","-",INDEX(T1_ProductType!$E:$E,MATCH(INDEX(T2_GroupSKU!$C:$C,MATCH(B73,T2_GroupSKU!$A:$A,0)),T1_ProductType!$A:$A,0))),"-")</f>
        <v>Fully Open Top Drum</v>
      </c>
      <c r="H73" s="10">
        <f t="array" ref="H73">IFERROR(IF(INDEX(T2_GroupSKU!$D:$D,MATCH(B73,T2_GroupSKU!$A:$A,0))="","-",INDEX(T2_GroupSKU!$D:$D,MATCH(B73,T2_GroupSKU!$A:$A,0))),"-")</f>
        <v>210</v>
      </c>
      <c r="I73" s="10" t="str">
        <f t="array" ref="I73">IFERROR(IF(INDEX(T2_GroupSKU!$E:$E,MATCH(B73,T2_GroupSKU!$A:$A,0))="","-",INDEX(T2_GroupSKU!$E:$E,MATCH(B73,T2_GroupSKU!$A:$A,0))),"-")</f>
        <v>LTR</v>
      </c>
      <c r="J73" s="10" t="str">
        <f>T3_SKU!C73</f>
        <v>Blue / 10.0 KG</v>
      </c>
      <c r="K73" s="10" t="str">
        <f>T3_SKU!D73</f>
        <v>210 LTR BLUE FOT 10.0 KG</v>
      </c>
      <c r="L73" s="10" t="str">
        <f>T3_SKU!E73</f>
        <v>NOS</v>
      </c>
      <c r="M73" s="10" t="str">
        <f>T3_SKU!F73</f>
        <v>39233090</v>
      </c>
    </row>
    <row r="74" ht="15.0" customHeight="1">
      <c r="A74" s="10" t="str">
        <f>T3_SKU!A74</f>
        <v>FOTD-210-BLU-102KG</v>
      </c>
      <c r="B74" s="10" t="str">
        <f>T3_SKU!B74</f>
        <v>FOTD-210</v>
      </c>
      <c r="C74" s="10" t="str">
        <f t="array" ref="C74">IFERROR(INDEX(T2_GroupSKU!$B:$B,MATCH(B74,T2_GroupSKU!$A:$A,0)),"")</f>
        <v>FOT (Full Open Top) Drum - 210.0 LTR</v>
      </c>
      <c r="D74" s="10" t="str">
        <f t="array" ref="D74">IFERROR(INDEX(T1_ProductType!$B:$B,MATCH(INDEX(T2_GroupSKU!$C:$C,MATCH(B74,T2_GroupSKU!$A:$A,0)),T1_ProductType!$A:$A,0)),"")</f>
        <v>FOT (Full Open Top) Drum</v>
      </c>
      <c r="E74" s="10" t="str">
        <f t="array" ref="E74">IFERROR(INDEX(T1_ProductType!$C:$C,MATCH(INDEX(T2_GroupSKU!$C:$C,MATCH(B74,T2_GroupSKU!$A:$A,0)),T1_ProductType!$A:$A,0)),"")</f>
        <v>Drum</v>
      </c>
      <c r="F74" s="10" t="str">
        <f t="array" ref="F74">IFERROR(INDEX(T1_ProductType!$D:$D,MATCH(INDEX(T2_GroupSKU!$C:$C,MATCH(B74,T2_GroupSKU!$A:$A,0)),T1_ProductType!$A:$A,0)),"")</f>
        <v>Plastic Barrels</v>
      </c>
      <c r="G74" s="10" t="str">
        <f t="array" ref="G74">IFERROR(IF(INDEX(T1_ProductType!$E:$E,MATCH(INDEX(T2_GroupSKU!$C:$C,MATCH(B74,T2_GroupSKU!$A:$A,0)),T1_ProductType!$A:$A,0))="","-",INDEX(T1_ProductType!$E:$E,MATCH(INDEX(T2_GroupSKU!$C:$C,MATCH(B74,T2_GroupSKU!$A:$A,0)),T1_ProductType!$A:$A,0))),"-")</f>
        <v>Fully Open Top Drum</v>
      </c>
      <c r="H74" s="10">
        <f t="array" ref="H74">IFERROR(IF(INDEX(T2_GroupSKU!$D:$D,MATCH(B74,T2_GroupSKU!$A:$A,0))="","-",INDEX(T2_GroupSKU!$D:$D,MATCH(B74,T2_GroupSKU!$A:$A,0))),"-")</f>
        <v>210</v>
      </c>
      <c r="I74" s="10" t="str">
        <f t="array" ref="I74">IFERROR(IF(INDEX(T2_GroupSKU!$E:$E,MATCH(B74,T2_GroupSKU!$A:$A,0))="","-",INDEX(T2_GroupSKU!$E:$E,MATCH(B74,T2_GroupSKU!$A:$A,0))),"-")</f>
        <v>LTR</v>
      </c>
      <c r="J74" s="10" t="str">
        <f>T3_SKU!C74</f>
        <v>Blue / 10.2 KG</v>
      </c>
      <c r="K74" s="10" t="str">
        <f>T3_SKU!D74</f>
        <v>210 LTR BLUE FOT 10.2 KG</v>
      </c>
      <c r="L74" s="10" t="str">
        <f>T3_SKU!E74</f>
        <v>NOS</v>
      </c>
      <c r="M74" s="10" t="str">
        <f>T3_SKU!F74</f>
        <v>39233090</v>
      </c>
    </row>
    <row r="75" ht="15.0" customHeight="1">
      <c r="A75" s="10" t="str">
        <f>T3_SKU!A75</f>
        <v>FOTD-210-BLU-85KG</v>
      </c>
      <c r="B75" s="10" t="str">
        <f>T3_SKU!B75</f>
        <v>FOTD-210</v>
      </c>
      <c r="C75" s="10" t="str">
        <f t="array" ref="C75">IFERROR(INDEX(T2_GroupSKU!$B:$B,MATCH(B75,T2_GroupSKU!$A:$A,0)),"")</f>
        <v>FOT (Full Open Top) Drum - 210.0 LTR</v>
      </c>
      <c r="D75" s="10" t="str">
        <f t="array" ref="D75">IFERROR(INDEX(T1_ProductType!$B:$B,MATCH(INDEX(T2_GroupSKU!$C:$C,MATCH(B75,T2_GroupSKU!$A:$A,0)),T1_ProductType!$A:$A,0)),"")</f>
        <v>FOT (Full Open Top) Drum</v>
      </c>
      <c r="E75" s="10" t="str">
        <f t="array" ref="E75">IFERROR(INDEX(T1_ProductType!$C:$C,MATCH(INDEX(T2_GroupSKU!$C:$C,MATCH(B75,T2_GroupSKU!$A:$A,0)),T1_ProductType!$A:$A,0)),"")</f>
        <v>Drum</v>
      </c>
      <c r="F75" s="10" t="str">
        <f t="array" ref="F75">IFERROR(INDEX(T1_ProductType!$D:$D,MATCH(INDEX(T2_GroupSKU!$C:$C,MATCH(B75,T2_GroupSKU!$A:$A,0)),T1_ProductType!$A:$A,0)),"")</f>
        <v>Plastic Barrels</v>
      </c>
      <c r="G75" s="10" t="str">
        <f t="array" ref="G75">IFERROR(IF(INDEX(T1_ProductType!$E:$E,MATCH(INDEX(T2_GroupSKU!$C:$C,MATCH(B75,T2_GroupSKU!$A:$A,0)),T1_ProductType!$A:$A,0))="","-",INDEX(T1_ProductType!$E:$E,MATCH(INDEX(T2_GroupSKU!$C:$C,MATCH(B75,T2_GroupSKU!$A:$A,0)),T1_ProductType!$A:$A,0))),"-")</f>
        <v>Fully Open Top Drum</v>
      </c>
      <c r="H75" s="10">
        <f t="array" ref="H75">IFERROR(IF(INDEX(T2_GroupSKU!$D:$D,MATCH(B75,T2_GroupSKU!$A:$A,0))="","-",INDEX(T2_GroupSKU!$D:$D,MATCH(B75,T2_GroupSKU!$A:$A,0))),"-")</f>
        <v>210</v>
      </c>
      <c r="I75" s="10" t="str">
        <f t="array" ref="I75">IFERROR(IF(INDEX(T2_GroupSKU!$E:$E,MATCH(B75,T2_GroupSKU!$A:$A,0))="","-",INDEX(T2_GroupSKU!$E:$E,MATCH(B75,T2_GroupSKU!$A:$A,0))),"-")</f>
        <v>LTR</v>
      </c>
      <c r="J75" s="10" t="str">
        <f>T3_SKU!C75</f>
        <v>Blue / 8.5 KG</v>
      </c>
      <c r="K75" s="10" t="str">
        <f>T3_SKU!D75</f>
        <v>210 LTR BLUE FOT 8.5 KG</v>
      </c>
      <c r="L75" s="10" t="str">
        <f>T3_SKU!E75</f>
        <v>NOS</v>
      </c>
      <c r="M75" s="10" t="str">
        <f>T3_SKU!F75</f>
        <v>39233090</v>
      </c>
    </row>
    <row r="76" ht="15.0" customHeight="1">
      <c r="A76" s="10" t="str">
        <f>T3_SKU!A76</f>
        <v>FOTD-210-BLU-90KG</v>
      </c>
      <c r="B76" s="10" t="str">
        <f>T3_SKU!B76</f>
        <v>FOTD-210</v>
      </c>
      <c r="C76" s="10" t="str">
        <f t="array" ref="C76">IFERROR(INDEX(T2_GroupSKU!$B:$B,MATCH(B76,T2_GroupSKU!$A:$A,0)),"")</f>
        <v>FOT (Full Open Top) Drum - 210.0 LTR</v>
      </c>
      <c r="D76" s="10" t="str">
        <f t="array" ref="D76">IFERROR(INDEX(T1_ProductType!$B:$B,MATCH(INDEX(T2_GroupSKU!$C:$C,MATCH(B76,T2_GroupSKU!$A:$A,0)),T1_ProductType!$A:$A,0)),"")</f>
        <v>FOT (Full Open Top) Drum</v>
      </c>
      <c r="E76" s="10" t="str">
        <f t="array" ref="E76">IFERROR(INDEX(T1_ProductType!$C:$C,MATCH(INDEX(T2_GroupSKU!$C:$C,MATCH(B76,T2_GroupSKU!$A:$A,0)),T1_ProductType!$A:$A,0)),"")</f>
        <v>Drum</v>
      </c>
      <c r="F76" s="10" t="str">
        <f t="array" ref="F76">IFERROR(INDEX(T1_ProductType!$D:$D,MATCH(INDEX(T2_GroupSKU!$C:$C,MATCH(B76,T2_GroupSKU!$A:$A,0)),T1_ProductType!$A:$A,0)),"")</f>
        <v>Plastic Barrels</v>
      </c>
      <c r="G76" s="10" t="str">
        <f t="array" ref="G76">IFERROR(IF(INDEX(T1_ProductType!$E:$E,MATCH(INDEX(T2_GroupSKU!$C:$C,MATCH(B76,T2_GroupSKU!$A:$A,0)),T1_ProductType!$A:$A,0))="","-",INDEX(T1_ProductType!$E:$E,MATCH(INDEX(T2_GroupSKU!$C:$C,MATCH(B76,T2_GroupSKU!$A:$A,0)),T1_ProductType!$A:$A,0))),"-")</f>
        <v>Fully Open Top Drum</v>
      </c>
      <c r="H76" s="10">
        <f t="array" ref="H76">IFERROR(IF(INDEX(T2_GroupSKU!$D:$D,MATCH(B76,T2_GroupSKU!$A:$A,0))="","-",INDEX(T2_GroupSKU!$D:$D,MATCH(B76,T2_GroupSKU!$A:$A,0))),"-")</f>
        <v>210</v>
      </c>
      <c r="I76" s="10" t="str">
        <f t="array" ref="I76">IFERROR(IF(INDEX(T2_GroupSKU!$E:$E,MATCH(B76,T2_GroupSKU!$A:$A,0))="","-",INDEX(T2_GroupSKU!$E:$E,MATCH(B76,T2_GroupSKU!$A:$A,0))),"-")</f>
        <v>LTR</v>
      </c>
      <c r="J76" s="10" t="str">
        <f>T3_SKU!C76</f>
        <v>Blue / 9.0 KG</v>
      </c>
      <c r="K76" s="10" t="str">
        <f>T3_SKU!D76</f>
        <v>210 LTR BLUE FOT 9.0 KG</v>
      </c>
      <c r="L76" s="10" t="str">
        <f>T3_SKU!E76</f>
        <v>NOS</v>
      </c>
      <c r="M76" s="10" t="str">
        <f>T3_SKU!F76</f>
        <v>39233090</v>
      </c>
    </row>
    <row r="77" ht="15.0" customHeight="1">
      <c r="A77" s="10" t="str">
        <f>T3_SKU!A77</f>
        <v>FOTD-210-BLU-92KG</v>
      </c>
      <c r="B77" s="10" t="str">
        <f>T3_SKU!B77</f>
        <v>FOTD-210</v>
      </c>
      <c r="C77" s="10" t="str">
        <f t="array" ref="C77">IFERROR(INDEX(T2_GroupSKU!$B:$B,MATCH(B77,T2_GroupSKU!$A:$A,0)),"")</f>
        <v>FOT (Full Open Top) Drum - 210.0 LTR</v>
      </c>
      <c r="D77" s="10" t="str">
        <f t="array" ref="D77">IFERROR(INDEX(T1_ProductType!$B:$B,MATCH(INDEX(T2_GroupSKU!$C:$C,MATCH(B77,T2_GroupSKU!$A:$A,0)),T1_ProductType!$A:$A,0)),"")</f>
        <v>FOT (Full Open Top) Drum</v>
      </c>
      <c r="E77" s="10" t="str">
        <f t="array" ref="E77">IFERROR(INDEX(T1_ProductType!$C:$C,MATCH(INDEX(T2_GroupSKU!$C:$C,MATCH(B77,T2_GroupSKU!$A:$A,0)),T1_ProductType!$A:$A,0)),"")</f>
        <v>Drum</v>
      </c>
      <c r="F77" s="10" t="str">
        <f t="array" ref="F77">IFERROR(INDEX(T1_ProductType!$D:$D,MATCH(INDEX(T2_GroupSKU!$C:$C,MATCH(B77,T2_GroupSKU!$A:$A,0)),T1_ProductType!$A:$A,0)),"")</f>
        <v>Plastic Barrels</v>
      </c>
      <c r="G77" s="10" t="str">
        <f t="array" ref="G77">IFERROR(IF(INDEX(T1_ProductType!$E:$E,MATCH(INDEX(T2_GroupSKU!$C:$C,MATCH(B77,T2_GroupSKU!$A:$A,0)),T1_ProductType!$A:$A,0))="","-",INDEX(T1_ProductType!$E:$E,MATCH(INDEX(T2_GroupSKU!$C:$C,MATCH(B77,T2_GroupSKU!$A:$A,0)),T1_ProductType!$A:$A,0))),"-")</f>
        <v>Fully Open Top Drum</v>
      </c>
      <c r="H77" s="10">
        <f t="array" ref="H77">IFERROR(IF(INDEX(T2_GroupSKU!$D:$D,MATCH(B77,T2_GroupSKU!$A:$A,0))="","-",INDEX(T2_GroupSKU!$D:$D,MATCH(B77,T2_GroupSKU!$A:$A,0))),"-")</f>
        <v>210</v>
      </c>
      <c r="I77" s="10" t="str">
        <f t="array" ref="I77">IFERROR(IF(INDEX(T2_GroupSKU!$E:$E,MATCH(B77,T2_GroupSKU!$A:$A,0))="","-",INDEX(T2_GroupSKU!$E:$E,MATCH(B77,T2_GroupSKU!$A:$A,0))),"-")</f>
        <v>LTR</v>
      </c>
      <c r="J77" s="10" t="str">
        <f>T3_SKU!C77</f>
        <v>Blue / 9.2 KG</v>
      </c>
      <c r="K77" s="10" t="str">
        <f>T3_SKU!D77</f>
        <v>210 LTR BLUE FOT 9.2 KG</v>
      </c>
      <c r="L77" s="10" t="str">
        <f>T3_SKU!E77</f>
        <v>NOS</v>
      </c>
      <c r="M77" s="10" t="str">
        <f>T3_SKU!F77</f>
        <v>39233090</v>
      </c>
    </row>
    <row r="78" ht="15.0" customHeight="1">
      <c r="A78" s="10" t="str">
        <f>T3_SKU!A78</f>
        <v>FOTD-210-BLU-94KG</v>
      </c>
      <c r="B78" s="10" t="str">
        <f>T3_SKU!B78</f>
        <v>FOTD-210</v>
      </c>
      <c r="C78" s="10" t="str">
        <f t="array" ref="C78">IFERROR(INDEX(T2_GroupSKU!$B:$B,MATCH(B78,T2_GroupSKU!$A:$A,0)),"")</f>
        <v>FOT (Full Open Top) Drum - 210.0 LTR</v>
      </c>
      <c r="D78" s="10" t="str">
        <f t="array" ref="D78">IFERROR(INDEX(T1_ProductType!$B:$B,MATCH(INDEX(T2_GroupSKU!$C:$C,MATCH(B78,T2_GroupSKU!$A:$A,0)),T1_ProductType!$A:$A,0)),"")</f>
        <v>FOT (Full Open Top) Drum</v>
      </c>
      <c r="E78" s="10" t="str">
        <f t="array" ref="E78">IFERROR(INDEX(T1_ProductType!$C:$C,MATCH(INDEX(T2_GroupSKU!$C:$C,MATCH(B78,T2_GroupSKU!$A:$A,0)),T1_ProductType!$A:$A,0)),"")</f>
        <v>Drum</v>
      </c>
      <c r="F78" s="10" t="str">
        <f t="array" ref="F78">IFERROR(INDEX(T1_ProductType!$D:$D,MATCH(INDEX(T2_GroupSKU!$C:$C,MATCH(B78,T2_GroupSKU!$A:$A,0)),T1_ProductType!$A:$A,0)),"")</f>
        <v>Plastic Barrels</v>
      </c>
      <c r="G78" s="10" t="str">
        <f t="array" ref="G78">IFERROR(IF(INDEX(T1_ProductType!$E:$E,MATCH(INDEX(T2_GroupSKU!$C:$C,MATCH(B78,T2_GroupSKU!$A:$A,0)),T1_ProductType!$A:$A,0))="","-",INDEX(T1_ProductType!$E:$E,MATCH(INDEX(T2_GroupSKU!$C:$C,MATCH(B78,T2_GroupSKU!$A:$A,0)),T1_ProductType!$A:$A,0))),"-")</f>
        <v>Fully Open Top Drum</v>
      </c>
      <c r="H78" s="10">
        <f t="array" ref="H78">IFERROR(IF(INDEX(T2_GroupSKU!$D:$D,MATCH(B78,T2_GroupSKU!$A:$A,0))="","-",INDEX(T2_GroupSKU!$D:$D,MATCH(B78,T2_GroupSKU!$A:$A,0))),"-")</f>
        <v>210</v>
      </c>
      <c r="I78" s="10" t="str">
        <f t="array" ref="I78">IFERROR(IF(INDEX(T2_GroupSKU!$E:$E,MATCH(B78,T2_GroupSKU!$A:$A,0))="","-",INDEX(T2_GroupSKU!$E:$E,MATCH(B78,T2_GroupSKU!$A:$A,0))),"-")</f>
        <v>LTR</v>
      </c>
      <c r="J78" s="10" t="str">
        <f>T3_SKU!C78</f>
        <v>Blue / 9.4 KG</v>
      </c>
      <c r="K78" s="10" t="str">
        <f>T3_SKU!D78</f>
        <v>210 LTR BLUE FOT 9.4 KG</v>
      </c>
      <c r="L78" s="10" t="str">
        <f>T3_SKU!E78</f>
        <v>NOS</v>
      </c>
      <c r="M78" s="10" t="str">
        <f>T3_SKU!F78</f>
        <v>39233090</v>
      </c>
    </row>
    <row r="79" ht="15.0" customHeight="1">
      <c r="A79" s="10" t="str">
        <f>T3_SKU!A79</f>
        <v>FOTD-210-BLU-95KG</v>
      </c>
      <c r="B79" s="10" t="str">
        <f>T3_SKU!B79</f>
        <v>FOTD-210</v>
      </c>
      <c r="C79" s="10" t="str">
        <f t="array" ref="C79">IFERROR(INDEX(T2_GroupSKU!$B:$B,MATCH(B79,T2_GroupSKU!$A:$A,0)),"")</f>
        <v>FOT (Full Open Top) Drum - 210.0 LTR</v>
      </c>
      <c r="D79" s="10" t="str">
        <f t="array" ref="D79">IFERROR(INDEX(T1_ProductType!$B:$B,MATCH(INDEX(T2_GroupSKU!$C:$C,MATCH(B79,T2_GroupSKU!$A:$A,0)),T1_ProductType!$A:$A,0)),"")</f>
        <v>FOT (Full Open Top) Drum</v>
      </c>
      <c r="E79" s="10" t="str">
        <f t="array" ref="E79">IFERROR(INDEX(T1_ProductType!$C:$C,MATCH(INDEX(T2_GroupSKU!$C:$C,MATCH(B79,T2_GroupSKU!$A:$A,0)),T1_ProductType!$A:$A,0)),"")</f>
        <v>Drum</v>
      </c>
      <c r="F79" s="10" t="str">
        <f t="array" ref="F79">IFERROR(INDEX(T1_ProductType!$D:$D,MATCH(INDEX(T2_GroupSKU!$C:$C,MATCH(B79,T2_GroupSKU!$A:$A,0)),T1_ProductType!$A:$A,0)),"")</f>
        <v>Plastic Barrels</v>
      </c>
      <c r="G79" s="10" t="str">
        <f t="array" ref="G79">IFERROR(IF(INDEX(T1_ProductType!$E:$E,MATCH(INDEX(T2_GroupSKU!$C:$C,MATCH(B79,T2_GroupSKU!$A:$A,0)),T1_ProductType!$A:$A,0))="","-",INDEX(T1_ProductType!$E:$E,MATCH(INDEX(T2_GroupSKU!$C:$C,MATCH(B79,T2_GroupSKU!$A:$A,0)),T1_ProductType!$A:$A,0))),"-")</f>
        <v>Fully Open Top Drum</v>
      </c>
      <c r="H79" s="10">
        <f t="array" ref="H79">IFERROR(IF(INDEX(T2_GroupSKU!$D:$D,MATCH(B79,T2_GroupSKU!$A:$A,0))="","-",INDEX(T2_GroupSKU!$D:$D,MATCH(B79,T2_GroupSKU!$A:$A,0))),"-")</f>
        <v>210</v>
      </c>
      <c r="I79" s="10" t="str">
        <f t="array" ref="I79">IFERROR(IF(INDEX(T2_GroupSKU!$E:$E,MATCH(B79,T2_GroupSKU!$A:$A,0))="","-",INDEX(T2_GroupSKU!$E:$E,MATCH(B79,T2_GroupSKU!$A:$A,0))),"-")</f>
        <v>LTR</v>
      </c>
      <c r="J79" s="10" t="str">
        <f>T3_SKU!C79</f>
        <v>Blue / 9.5 KG</v>
      </c>
      <c r="K79" s="10" t="str">
        <f>T3_SKU!D79</f>
        <v>210 LTR BLUE FOT 9.5 KG</v>
      </c>
      <c r="L79" s="10" t="str">
        <f>T3_SKU!E79</f>
        <v>NOS</v>
      </c>
      <c r="M79" s="10" t="str">
        <f>T3_SKU!F79</f>
        <v>39233090</v>
      </c>
    </row>
    <row r="80" ht="15.0" customHeight="1">
      <c r="A80" s="10" t="str">
        <f>T3_SKU!A80</f>
        <v>FOTD-210-BLU-97KG</v>
      </c>
      <c r="B80" s="10" t="str">
        <f>T3_SKU!B80</f>
        <v>FOTD-210</v>
      </c>
      <c r="C80" s="10" t="str">
        <f t="array" ref="C80">IFERROR(INDEX(T2_GroupSKU!$B:$B,MATCH(B80,T2_GroupSKU!$A:$A,0)),"")</f>
        <v>FOT (Full Open Top) Drum - 210.0 LTR</v>
      </c>
      <c r="D80" s="10" t="str">
        <f t="array" ref="D80">IFERROR(INDEX(T1_ProductType!$B:$B,MATCH(INDEX(T2_GroupSKU!$C:$C,MATCH(B80,T2_GroupSKU!$A:$A,0)),T1_ProductType!$A:$A,0)),"")</f>
        <v>FOT (Full Open Top) Drum</v>
      </c>
      <c r="E80" s="10" t="str">
        <f t="array" ref="E80">IFERROR(INDEX(T1_ProductType!$C:$C,MATCH(INDEX(T2_GroupSKU!$C:$C,MATCH(B80,T2_GroupSKU!$A:$A,0)),T1_ProductType!$A:$A,0)),"")</f>
        <v>Drum</v>
      </c>
      <c r="F80" s="10" t="str">
        <f t="array" ref="F80">IFERROR(INDEX(T1_ProductType!$D:$D,MATCH(INDEX(T2_GroupSKU!$C:$C,MATCH(B80,T2_GroupSKU!$A:$A,0)),T1_ProductType!$A:$A,0)),"")</f>
        <v>Plastic Barrels</v>
      </c>
      <c r="G80" s="10" t="str">
        <f t="array" ref="G80">IFERROR(IF(INDEX(T1_ProductType!$E:$E,MATCH(INDEX(T2_GroupSKU!$C:$C,MATCH(B80,T2_GroupSKU!$A:$A,0)),T1_ProductType!$A:$A,0))="","-",INDEX(T1_ProductType!$E:$E,MATCH(INDEX(T2_GroupSKU!$C:$C,MATCH(B80,T2_GroupSKU!$A:$A,0)),T1_ProductType!$A:$A,0))),"-")</f>
        <v>Fully Open Top Drum</v>
      </c>
      <c r="H80" s="10">
        <f t="array" ref="H80">IFERROR(IF(INDEX(T2_GroupSKU!$D:$D,MATCH(B80,T2_GroupSKU!$A:$A,0))="","-",INDEX(T2_GroupSKU!$D:$D,MATCH(B80,T2_GroupSKU!$A:$A,0))),"-")</f>
        <v>210</v>
      </c>
      <c r="I80" s="10" t="str">
        <f t="array" ref="I80">IFERROR(IF(INDEX(T2_GroupSKU!$E:$E,MATCH(B80,T2_GroupSKU!$A:$A,0))="","-",INDEX(T2_GroupSKU!$E:$E,MATCH(B80,T2_GroupSKU!$A:$A,0))),"-")</f>
        <v>LTR</v>
      </c>
      <c r="J80" s="10" t="str">
        <f>T3_SKU!C80</f>
        <v>Blue / 9.7 KG</v>
      </c>
      <c r="K80" s="10" t="str">
        <f>T3_SKU!D80</f>
        <v>210 LTR BLUE FOT 9.7 KG</v>
      </c>
      <c r="L80" s="10" t="str">
        <f>T3_SKU!E80</f>
        <v>NOS</v>
      </c>
      <c r="M80" s="10" t="str">
        <f>T3_SKU!F80</f>
        <v>39233090</v>
      </c>
    </row>
    <row r="81" ht="15.0" customHeight="1">
      <c r="A81" s="10" t="str">
        <f>T3_SKU!A81</f>
        <v>FOTD-210-BLU-98KG</v>
      </c>
      <c r="B81" s="10" t="str">
        <f>T3_SKU!B81</f>
        <v>FOTD-210</v>
      </c>
      <c r="C81" s="10" t="str">
        <f t="array" ref="C81">IFERROR(INDEX(T2_GroupSKU!$B:$B,MATCH(B81,T2_GroupSKU!$A:$A,0)),"")</f>
        <v>FOT (Full Open Top) Drum - 210.0 LTR</v>
      </c>
      <c r="D81" s="10" t="str">
        <f t="array" ref="D81">IFERROR(INDEX(T1_ProductType!$B:$B,MATCH(INDEX(T2_GroupSKU!$C:$C,MATCH(B81,T2_GroupSKU!$A:$A,0)),T1_ProductType!$A:$A,0)),"")</f>
        <v>FOT (Full Open Top) Drum</v>
      </c>
      <c r="E81" s="10" t="str">
        <f t="array" ref="E81">IFERROR(INDEX(T1_ProductType!$C:$C,MATCH(INDEX(T2_GroupSKU!$C:$C,MATCH(B81,T2_GroupSKU!$A:$A,0)),T1_ProductType!$A:$A,0)),"")</f>
        <v>Drum</v>
      </c>
      <c r="F81" s="10" t="str">
        <f t="array" ref="F81">IFERROR(INDEX(T1_ProductType!$D:$D,MATCH(INDEX(T2_GroupSKU!$C:$C,MATCH(B81,T2_GroupSKU!$A:$A,0)),T1_ProductType!$A:$A,0)),"")</f>
        <v>Plastic Barrels</v>
      </c>
      <c r="G81" s="10" t="str">
        <f t="array" ref="G81">IFERROR(IF(INDEX(T1_ProductType!$E:$E,MATCH(INDEX(T2_GroupSKU!$C:$C,MATCH(B81,T2_GroupSKU!$A:$A,0)),T1_ProductType!$A:$A,0))="","-",INDEX(T1_ProductType!$E:$E,MATCH(INDEX(T2_GroupSKU!$C:$C,MATCH(B81,T2_GroupSKU!$A:$A,0)),T1_ProductType!$A:$A,0))),"-")</f>
        <v>Fully Open Top Drum</v>
      </c>
      <c r="H81" s="10">
        <f t="array" ref="H81">IFERROR(IF(INDEX(T2_GroupSKU!$D:$D,MATCH(B81,T2_GroupSKU!$A:$A,0))="","-",INDEX(T2_GroupSKU!$D:$D,MATCH(B81,T2_GroupSKU!$A:$A,0))),"-")</f>
        <v>210</v>
      </c>
      <c r="I81" s="10" t="str">
        <f t="array" ref="I81">IFERROR(IF(INDEX(T2_GroupSKU!$E:$E,MATCH(B81,T2_GroupSKU!$A:$A,0))="","-",INDEX(T2_GroupSKU!$E:$E,MATCH(B81,T2_GroupSKU!$A:$A,0))),"-")</f>
        <v>LTR</v>
      </c>
      <c r="J81" s="10" t="str">
        <f>T3_SKU!C81</f>
        <v>Blue / 9.8 KG</v>
      </c>
      <c r="K81" s="10" t="str">
        <f>T3_SKU!D81</f>
        <v>210 LTR BLUE FOT  9.8  KG</v>
      </c>
      <c r="L81" s="10" t="str">
        <f>T3_SKU!E81</f>
        <v>NOS</v>
      </c>
      <c r="M81" s="10" t="str">
        <f>T3_SKU!F81</f>
        <v>39233090</v>
      </c>
    </row>
    <row r="82" ht="15.0" customHeight="1">
      <c r="A82" s="10" t="str">
        <f>T3_SKU!A82</f>
        <v>FOTD-210-GRN-665KG</v>
      </c>
      <c r="B82" s="10" t="str">
        <f>T3_SKU!B82</f>
        <v>FOTD-210</v>
      </c>
      <c r="C82" s="10" t="str">
        <f t="array" ref="C82">IFERROR(INDEX(T2_GroupSKU!$B:$B,MATCH(B82,T2_GroupSKU!$A:$A,0)),"")</f>
        <v>FOT (Full Open Top) Drum - 210.0 LTR</v>
      </c>
      <c r="D82" s="10" t="str">
        <f t="array" ref="D82">IFERROR(INDEX(T1_ProductType!$B:$B,MATCH(INDEX(T2_GroupSKU!$C:$C,MATCH(B82,T2_GroupSKU!$A:$A,0)),T1_ProductType!$A:$A,0)),"")</f>
        <v>FOT (Full Open Top) Drum</v>
      </c>
      <c r="E82" s="10" t="str">
        <f t="array" ref="E82">IFERROR(INDEX(T1_ProductType!$C:$C,MATCH(INDEX(T2_GroupSKU!$C:$C,MATCH(B82,T2_GroupSKU!$A:$A,0)),T1_ProductType!$A:$A,0)),"")</f>
        <v>Drum</v>
      </c>
      <c r="F82" s="10" t="str">
        <f t="array" ref="F82">IFERROR(INDEX(T1_ProductType!$D:$D,MATCH(INDEX(T2_GroupSKU!$C:$C,MATCH(B82,T2_GroupSKU!$A:$A,0)),T1_ProductType!$A:$A,0)),"")</f>
        <v>Plastic Barrels</v>
      </c>
      <c r="G82" s="10" t="str">
        <f t="array" ref="G82">IFERROR(IF(INDEX(T1_ProductType!$E:$E,MATCH(INDEX(T2_GroupSKU!$C:$C,MATCH(B82,T2_GroupSKU!$A:$A,0)),T1_ProductType!$A:$A,0))="","-",INDEX(T1_ProductType!$E:$E,MATCH(INDEX(T2_GroupSKU!$C:$C,MATCH(B82,T2_GroupSKU!$A:$A,0)),T1_ProductType!$A:$A,0))),"-")</f>
        <v>Fully Open Top Drum</v>
      </c>
      <c r="H82" s="10">
        <f t="array" ref="H82">IFERROR(IF(INDEX(T2_GroupSKU!$D:$D,MATCH(B82,T2_GroupSKU!$A:$A,0))="","-",INDEX(T2_GroupSKU!$D:$D,MATCH(B82,T2_GroupSKU!$A:$A,0))),"-")</f>
        <v>210</v>
      </c>
      <c r="I82" s="10" t="str">
        <f t="array" ref="I82">IFERROR(IF(INDEX(T2_GroupSKU!$E:$E,MATCH(B82,T2_GroupSKU!$A:$A,0))="","-",INDEX(T2_GroupSKU!$E:$E,MATCH(B82,T2_GroupSKU!$A:$A,0))),"-")</f>
        <v>LTR</v>
      </c>
      <c r="J82" s="10" t="str">
        <f>T3_SKU!C82</f>
        <v>Green / 6.65 KG</v>
      </c>
      <c r="K82" s="10" t="str">
        <f>T3_SKU!D82</f>
        <v>210 LTR GREEN FOT 6.65 KG</v>
      </c>
      <c r="L82" s="10" t="str">
        <f>T3_SKU!E82</f>
        <v>NOS</v>
      </c>
      <c r="M82" s="10" t="str">
        <f>T3_SKU!F82</f>
        <v>39233090</v>
      </c>
    </row>
    <row r="83" ht="15.0" customHeight="1">
      <c r="A83" s="10" t="str">
        <f>T3_SKU!A83</f>
        <v>FOTD-210-GRN-85KG</v>
      </c>
      <c r="B83" s="10" t="str">
        <f>T3_SKU!B83</f>
        <v>FOTD-210</v>
      </c>
      <c r="C83" s="10" t="str">
        <f t="array" ref="C83">IFERROR(INDEX(T2_GroupSKU!$B:$B,MATCH(B83,T2_GroupSKU!$A:$A,0)),"")</f>
        <v>FOT (Full Open Top) Drum - 210.0 LTR</v>
      </c>
      <c r="D83" s="10" t="str">
        <f t="array" ref="D83">IFERROR(INDEX(T1_ProductType!$B:$B,MATCH(INDEX(T2_GroupSKU!$C:$C,MATCH(B83,T2_GroupSKU!$A:$A,0)),T1_ProductType!$A:$A,0)),"")</f>
        <v>FOT (Full Open Top) Drum</v>
      </c>
      <c r="E83" s="10" t="str">
        <f t="array" ref="E83">IFERROR(INDEX(T1_ProductType!$C:$C,MATCH(INDEX(T2_GroupSKU!$C:$C,MATCH(B83,T2_GroupSKU!$A:$A,0)),T1_ProductType!$A:$A,0)),"")</f>
        <v>Drum</v>
      </c>
      <c r="F83" s="10" t="str">
        <f t="array" ref="F83">IFERROR(INDEX(T1_ProductType!$D:$D,MATCH(INDEX(T2_GroupSKU!$C:$C,MATCH(B83,T2_GroupSKU!$A:$A,0)),T1_ProductType!$A:$A,0)),"")</f>
        <v>Plastic Barrels</v>
      </c>
      <c r="G83" s="10" t="str">
        <f t="array" ref="G83">IFERROR(IF(INDEX(T1_ProductType!$E:$E,MATCH(INDEX(T2_GroupSKU!$C:$C,MATCH(B83,T2_GroupSKU!$A:$A,0)),T1_ProductType!$A:$A,0))="","-",INDEX(T1_ProductType!$E:$E,MATCH(INDEX(T2_GroupSKU!$C:$C,MATCH(B83,T2_GroupSKU!$A:$A,0)),T1_ProductType!$A:$A,0))),"-")</f>
        <v>Fully Open Top Drum</v>
      </c>
      <c r="H83" s="10">
        <f t="array" ref="H83">IFERROR(IF(INDEX(T2_GroupSKU!$D:$D,MATCH(B83,T2_GroupSKU!$A:$A,0))="","-",INDEX(T2_GroupSKU!$D:$D,MATCH(B83,T2_GroupSKU!$A:$A,0))),"-")</f>
        <v>210</v>
      </c>
      <c r="I83" s="10" t="str">
        <f t="array" ref="I83">IFERROR(IF(INDEX(T2_GroupSKU!$E:$E,MATCH(B83,T2_GroupSKU!$A:$A,0))="","-",INDEX(T2_GroupSKU!$E:$E,MATCH(B83,T2_GroupSKU!$A:$A,0))),"-")</f>
        <v>LTR</v>
      </c>
      <c r="J83" s="10" t="str">
        <f>T3_SKU!C83</f>
        <v>Green / 8.5 KG</v>
      </c>
      <c r="K83" s="10" t="str">
        <f>T3_SKU!D83</f>
        <v>210 LTR GREEN FOT  8.5 KG</v>
      </c>
      <c r="L83" s="10" t="str">
        <f>T3_SKU!E83</f>
        <v>NOS</v>
      </c>
      <c r="M83" s="10" t="str">
        <f>T3_SKU!F83</f>
        <v>39233090</v>
      </c>
    </row>
    <row r="84" ht="15.0" customHeight="1">
      <c r="A84" s="10" t="str">
        <f>T3_SKU!A84</f>
        <v>FOTD-210-GRN-94KG</v>
      </c>
      <c r="B84" s="10" t="str">
        <f>T3_SKU!B84</f>
        <v>FOTD-210</v>
      </c>
      <c r="C84" s="10" t="str">
        <f t="array" ref="C84">IFERROR(INDEX(T2_GroupSKU!$B:$B,MATCH(B84,T2_GroupSKU!$A:$A,0)),"")</f>
        <v>FOT (Full Open Top) Drum - 210.0 LTR</v>
      </c>
      <c r="D84" s="10" t="str">
        <f t="array" ref="D84">IFERROR(INDEX(T1_ProductType!$B:$B,MATCH(INDEX(T2_GroupSKU!$C:$C,MATCH(B84,T2_GroupSKU!$A:$A,0)),T1_ProductType!$A:$A,0)),"")</f>
        <v>FOT (Full Open Top) Drum</v>
      </c>
      <c r="E84" s="10" t="str">
        <f t="array" ref="E84">IFERROR(INDEX(T1_ProductType!$C:$C,MATCH(INDEX(T2_GroupSKU!$C:$C,MATCH(B84,T2_GroupSKU!$A:$A,0)),T1_ProductType!$A:$A,0)),"")</f>
        <v>Drum</v>
      </c>
      <c r="F84" s="10" t="str">
        <f t="array" ref="F84">IFERROR(INDEX(T1_ProductType!$D:$D,MATCH(INDEX(T2_GroupSKU!$C:$C,MATCH(B84,T2_GroupSKU!$A:$A,0)),T1_ProductType!$A:$A,0)),"")</f>
        <v>Plastic Barrels</v>
      </c>
      <c r="G84" s="10" t="str">
        <f t="array" ref="G84">IFERROR(IF(INDEX(T1_ProductType!$E:$E,MATCH(INDEX(T2_GroupSKU!$C:$C,MATCH(B84,T2_GroupSKU!$A:$A,0)),T1_ProductType!$A:$A,0))="","-",INDEX(T1_ProductType!$E:$E,MATCH(INDEX(T2_GroupSKU!$C:$C,MATCH(B84,T2_GroupSKU!$A:$A,0)),T1_ProductType!$A:$A,0))),"-")</f>
        <v>Fully Open Top Drum</v>
      </c>
      <c r="H84" s="10">
        <f t="array" ref="H84">IFERROR(IF(INDEX(T2_GroupSKU!$D:$D,MATCH(B84,T2_GroupSKU!$A:$A,0))="","-",INDEX(T2_GroupSKU!$D:$D,MATCH(B84,T2_GroupSKU!$A:$A,0))),"-")</f>
        <v>210</v>
      </c>
      <c r="I84" s="10" t="str">
        <f t="array" ref="I84">IFERROR(IF(INDEX(T2_GroupSKU!$E:$E,MATCH(B84,T2_GroupSKU!$A:$A,0))="","-",INDEX(T2_GroupSKU!$E:$E,MATCH(B84,T2_GroupSKU!$A:$A,0))),"-")</f>
        <v>LTR</v>
      </c>
      <c r="J84" s="10" t="str">
        <f>T3_SKU!C84</f>
        <v>Green / 9.4 KG</v>
      </c>
      <c r="K84" s="10" t="str">
        <f>T3_SKU!D84</f>
        <v>210 LTR GREEN FOT 9.4 KG</v>
      </c>
      <c r="L84" s="10" t="str">
        <f>T3_SKU!E84</f>
        <v>NOS</v>
      </c>
      <c r="M84" s="10" t="str">
        <f>T3_SKU!F84</f>
        <v>39233090</v>
      </c>
    </row>
    <row r="85" ht="15.0" customHeight="1">
      <c r="A85" s="10" t="str">
        <f>T3_SKU!A85</f>
        <v>FOTD-210-GRY-94KG</v>
      </c>
      <c r="B85" s="10" t="str">
        <f>T3_SKU!B85</f>
        <v>FOTD-210</v>
      </c>
      <c r="C85" s="10" t="str">
        <f t="array" ref="C85">IFERROR(INDEX(T2_GroupSKU!$B:$B,MATCH(B85,T2_GroupSKU!$A:$A,0)),"")</f>
        <v>FOT (Full Open Top) Drum - 210.0 LTR</v>
      </c>
      <c r="D85" s="10" t="str">
        <f t="array" ref="D85">IFERROR(INDEX(T1_ProductType!$B:$B,MATCH(INDEX(T2_GroupSKU!$C:$C,MATCH(B85,T2_GroupSKU!$A:$A,0)),T1_ProductType!$A:$A,0)),"")</f>
        <v>FOT (Full Open Top) Drum</v>
      </c>
      <c r="E85" s="10" t="str">
        <f t="array" ref="E85">IFERROR(INDEX(T1_ProductType!$C:$C,MATCH(INDEX(T2_GroupSKU!$C:$C,MATCH(B85,T2_GroupSKU!$A:$A,0)),T1_ProductType!$A:$A,0)),"")</f>
        <v>Drum</v>
      </c>
      <c r="F85" s="10" t="str">
        <f t="array" ref="F85">IFERROR(INDEX(T1_ProductType!$D:$D,MATCH(INDEX(T2_GroupSKU!$C:$C,MATCH(B85,T2_GroupSKU!$A:$A,0)),T1_ProductType!$A:$A,0)),"")</f>
        <v>Plastic Barrels</v>
      </c>
      <c r="G85" s="10" t="str">
        <f t="array" ref="G85">IFERROR(IF(INDEX(T1_ProductType!$E:$E,MATCH(INDEX(T2_GroupSKU!$C:$C,MATCH(B85,T2_GroupSKU!$A:$A,0)),T1_ProductType!$A:$A,0))="","-",INDEX(T1_ProductType!$E:$E,MATCH(INDEX(T2_GroupSKU!$C:$C,MATCH(B85,T2_GroupSKU!$A:$A,0)),T1_ProductType!$A:$A,0))),"-")</f>
        <v>Fully Open Top Drum</v>
      </c>
      <c r="H85" s="10">
        <f t="array" ref="H85">IFERROR(IF(INDEX(T2_GroupSKU!$D:$D,MATCH(B85,T2_GroupSKU!$A:$A,0))="","-",INDEX(T2_GroupSKU!$D:$D,MATCH(B85,T2_GroupSKU!$A:$A,0))),"-")</f>
        <v>210</v>
      </c>
      <c r="I85" s="10" t="str">
        <f t="array" ref="I85">IFERROR(IF(INDEX(T2_GroupSKU!$E:$E,MATCH(B85,T2_GroupSKU!$A:$A,0))="","-",INDEX(T2_GroupSKU!$E:$E,MATCH(B85,T2_GroupSKU!$A:$A,0))),"-")</f>
        <v>LTR</v>
      </c>
      <c r="J85" s="10" t="str">
        <f>T3_SKU!C85</f>
        <v>Grey / 9.4 KG</v>
      </c>
      <c r="K85" s="10" t="str">
        <f>T3_SKU!D85</f>
        <v>210 LTR GREY FOT 9.4 KG</v>
      </c>
      <c r="L85" s="10" t="str">
        <f>T3_SKU!E85</f>
        <v>NOS</v>
      </c>
      <c r="M85" s="10" t="str">
        <f>T3_SKU!F85</f>
        <v>39233090</v>
      </c>
    </row>
    <row r="86" ht="15.0" customHeight="1">
      <c r="A86" s="10" t="str">
        <f>T3_SKU!A86</f>
        <v>FOTD-210-RED-94KG</v>
      </c>
      <c r="B86" s="10" t="str">
        <f>T3_SKU!B86</f>
        <v>FOTD-210</v>
      </c>
      <c r="C86" s="10" t="str">
        <f t="array" ref="C86">IFERROR(INDEX(T2_GroupSKU!$B:$B,MATCH(B86,T2_GroupSKU!$A:$A,0)),"")</f>
        <v>FOT (Full Open Top) Drum - 210.0 LTR</v>
      </c>
      <c r="D86" s="10" t="str">
        <f t="array" ref="D86">IFERROR(INDEX(T1_ProductType!$B:$B,MATCH(INDEX(T2_GroupSKU!$C:$C,MATCH(B86,T2_GroupSKU!$A:$A,0)),T1_ProductType!$A:$A,0)),"")</f>
        <v>FOT (Full Open Top) Drum</v>
      </c>
      <c r="E86" s="10" t="str">
        <f t="array" ref="E86">IFERROR(INDEX(T1_ProductType!$C:$C,MATCH(INDEX(T2_GroupSKU!$C:$C,MATCH(B86,T2_GroupSKU!$A:$A,0)),T1_ProductType!$A:$A,0)),"")</f>
        <v>Drum</v>
      </c>
      <c r="F86" s="10" t="str">
        <f t="array" ref="F86">IFERROR(INDEX(T1_ProductType!$D:$D,MATCH(INDEX(T2_GroupSKU!$C:$C,MATCH(B86,T2_GroupSKU!$A:$A,0)),T1_ProductType!$A:$A,0)),"")</f>
        <v>Plastic Barrels</v>
      </c>
      <c r="G86" s="10" t="str">
        <f t="array" ref="G86">IFERROR(IF(INDEX(T1_ProductType!$E:$E,MATCH(INDEX(T2_GroupSKU!$C:$C,MATCH(B86,T2_GroupSKU!$A:$A,0)),T1_ProductType!$A:$A,0))="","-",INDEX(T1_ProductType!$E:$E,MATCH(INDEX(T2_GroupSKU!$C:$C,MATCH(B86,T2_GroupSKU!$A:$A,0)),T1_ProductType!$A:$A,0))),"-")</f>
        <v>Fully Open Top Drum</v>
      </c>
      <c r="H86" s="10">
        <f t="array" ref="H86">IFERROR(IF(INDEX(T2_GroupSKU!$D:$D,MATCH(B86,T2_GroupSKU!$A:$A,0))="","-",INDEX(T2_GroupSKU!$D:$D,MATCH(B86,T2_GroupSKU!$A:$A,0))),"-")</f>
        <v>210</v>
      </c>
      <c r="I86" s="10" t="str">
        <f t="array" ref="I86">IFERROR(IF(INDEX(T2_GroupSKU!$E:$E,MATCH(B86,T2_GroupSKU!$A:$A,0))="","-",INDEX(T2_GroupSKU!$E:$E,MATCH(B86,T2_GroupSKU!$A:$A,0))),"-")</f>
        <v>LTR</v>
      </c>
      <c r="J86" s="10" t="str">
        <f>T3_SKU!C86</f>
        <v>Red / 9.4 KG</v>
      </c>
      <c r="K86" s="10" t="str">
        <f>T3_SKU!D86</f>
        <v>210 LTR RED FOT 9.4 KG</v>
      </c>
      <c r="L86" s="10" t="str">
        <f>T3_SKU!E86</f>
        <v>NOS</v>
      </c>
      <c r="M86" s="10" t="str">
        <f>T3_SKU!F86</f>
        <v>39233090</v>
      </c>
    </row>
    <row r="87" ht="15.0" customHeight="1">
      <c r="A87" s="10" t="str">
        <f>T3_SKU!A87</f>
        <v>FOTD-210-YEL-76KG</v>
      </c>
      <c r="B87" s="10" t="str">
        <f>T3_SKU!B87</f>
        <v>FOTD-210</v>
      </c>
      <c r="C87" s="10" t="str">
        <f t="array" ref="C87">IFERROR(INDEX(T2_GroupSKU!$B:$B,MATCH(B87,T2_GroupSKU!$A:$A,0)),"")</f>
        <v>FOT (Full Open Top) Drum - 210.0 LTR</v>
      </c>
      <c r="D87" s="10" t="str">
        <f t="array" ref="D87">IFERROR(INDEX(T1_ProductType!$B:$B,MATCH(INDEX(T2_GroupSKU!$C:$C,MATCH(B87,T2_GroupSKU!$A:$A,0)),T1_ProductType!$A:$A,0)),"")</f>
        <v>FOT (Full Open Top) Drum</v>
      </c>
      <c r="E87" s="10" t="str">
        <f t="array" ref="E87">IFERROR(INDEX(T1_ProductType!$C:$C,MATCH(INDEX(T2_GroupSKU!$C:$C,MATCH(B87,T2_GroupSKU!$A:$A,0)),T1_ProductType!$A:$A,0)),"")</f>
        <v>Drum</v>
      </c>
      <c r="F87" s="10" t="str">
        <f t="array" ref="F87">IFERROR(INDEX(T1_ProductType!$D:$D,MATCH(INDEX(T2_GroupSKU!$C:$C,MATCH(B87,T2_GroupSKU!$A:$A,0)),T1_ProductType!$A:$A,0)),"")</f>
        <v>Plastic Barrels</v>
      </c>
      <c r="G87" s="10" t="str">
        <f t="array" ref="G87">IFERROR(IF(INDEX(T1_ProductType!$E:$E,MATCH(INDEX(T2_GroupSKU!$C:$C,MATCH(B87,T2_GroupSKU!$A:$A,0)),T1_ProductType!$A:$A,0))="","-",INDEX(T1_ProductType!$E:$E,MATCH(INDEX(T2_GroupSKU!$C:$C,MATCH(B87,T2_GroupSKU!$A:$A,0)),T1_ProductType!$A:$A,0))),"-")</f>
        <v>Fully Open Top Drum</v>
      </c>
      <c r="H87" s="10">
        <f t="array" ref="H87">IFERROR(IF(INDEX(T2_GroupSKU!$D:$D,MATCH(B87,T2_GroupSKU!$A:$A,0))="","-",INDEX(T2_GroupSKU!$D:$D,MATCH(B87,T2_GroupSKU!$A:$A,0))),"-")</f>
        <v>210</v>
      </c>
      <c r="I87" s="10" t="str">
        <f t="array" ref="I87">IFERROR(IF(INDEX(T2_GroupSKU!$E:$E,MATCH(B87,T2_GroupSKU!$A:$A,0))="","-",INDEX(T2_GroupSKU!$E:$E,MATCH(B87,T2_GroupSKU!$A:$A,0))),"-")</f>
        <v>LTR</v>
      </c>
      <c r="J87" s="10" t="str">
        <f>T3_SKU!C87</f>
        <v>Yellow / 7.6 KG</v>
      </c>
      <c r="K87" s="10" t="str">
        <f>T3_SKU!D87</f>
        <v>210 LTR YELLOW FOT 7.6 KG</v>
      </c>
      <c r="L87" s="10" t="str">
        <f>T3_SKU!E87</f>
        <v>NOS</v>
      </c>
      <c r="M87" s="10" t="str">
        <f>T3_SKU!F87</f>
        <v>39233090</v>
      </c>
    </row>
    <row r="88" ht="15.0" customHeight="1">
      <c r="A88" s="10" t="str">
        <f>T3_SKU!A88</f>
        <v>FOTD-210-YEL-95KG</v>
      </c>
      <c r="B88" s="10" t="str">
        <f>T3_SKU!B88</f>
        <v>FOTD-210</v>
      </c>
      <c r="C88" s="10" t="str">
        <f t="array" ref="C88">IFERROR(INDEX(T2_GroupSKU!$B:$B,MATCH(B88,T2_GroupSKU!$A:$A,0)),"")</f>
        <v>FOT (Full Open Top) Drum - 210.0 LTR</v>
      </c>
      <c r="D88" s="10" t="str">
        <f t="array" ref="D88">IFERROR(INDEX(T1_ProductType!$B:$B,MATCH(INDEX(T2_GroupSKU!$C:$C,MATCH(B88,T2_GroupSKU!$A:$A,0)),T1_ProductType!$A:$A,0)),"")</f>
        <v>FOT (Full Open Top) Drum</v>
      </c>
      <c r="E88" s="10" t="str">
        <f t="array" ref="E88">IFERROR(INDEX(T1_ProductType!$C:$C,MATCH(INDEX(T2_GroupSKU!$C:$C,MATCH(B88,T2_GroupSKU!$A:$A,0)),T1_ProductType!$A:$A,0)),"")</f>
        <v>Drum</v>
      </c>
      <c r="F88" s="10" t="str">
        <f t="array" ref="F88">IFERROR(INDEX(T1_ProductType!$D:$D,MATCH(INDEX(T2_GroupSKU!$C:$C,MATCH(B88,T2_GroupSKU!$A:$A,0)),T1_ProductType!$A:$A,0)),"")</f>
        <v>Plastic Barrels</v>
      </c>
      <c r="G88" s="10" t="str">
        <f t="array" ref="G88">IFERROR(IF(INDEX(T1_ProductType!$E:$E,MATCH(INDEX(T2_GroupSKU!$C:$C,MATCH(B88,T2_GroupSKU!$A:$A,0)),T1_ProductType!$A:$A,0))="","-",INDEX(T1_ProductType!$E:$E,MATCH(INDEX(T2_GroupSKU!$C:$C,MATCH(B88,T2_GroupSKU!$A:$A,0)),T1_ProductType!$A:$A,0))),"-")</f>
        <v>Fully Open Top Drum</v>
      </c>
      <c r="H88" s="10">
        <f t="array" ref="H88">IFERROR(IF(INDEX(T2_GroupSKU!$D:$D,MATCH(B88,T2_GroupSKU!$A:$A,0))="","-",INDEX(T2_GroupSKU!$D:$D,MATCH(B88,T2_GroupSKU!$A:$A,0))),"-")</f>
        <v>210</v>
      </c>
      <c r="I88" s="10" t="str">
        <f t="array" ref="I88">IFERROR(IF(INDEX(T2_GroupSKU!$E:$E,MATCH(B88,T2_GroupSKU!$A:$A,0))="","-",INDEX(T2_GroupSKU!$E:$E,MATCH(B88,T2_GroupSKU!$A:$A,0))),"-")</f>
        <v>LTR</v>
      </c>
      <c r="J88" s="10" t="str">
        <f>T3_SKU!C88</f>
        <v>Yellow / 9.5 KG</v>
      </c>
      <c r="K88" s="10" t="str">
        <f>T3_SKU!D88</f>
        <v>210 LTR YELLOW FOT 9.5 KG</v>
      </c>
      <c r="L88" s="10" t="str">
        <f>T3_SKU!E88</f>
        <v>NOS</v>
      </c>
      <c r="M88" s="10" t="str">
        <f>T3_SKU!F88</f>
        <v>39233090</v>
      </c>
    </row>
    <row r="89" ht="15.0" customHeight="1">
      <c r="A89" s="10" t="str">
        <f>T3_SKU!A89</f>
        <v>FOTD-220-BLU-75KG</v>
      </c>
      <c r="B89" s="10" t="str">
        <f>T3_SKU!B89</f>
        <v>FOTD-220</v>
      </c>
      <c r="C89" s="10" t="str">
        <f t="array" ref="C89">IFERROR(INDEX(T2_GroupSKU!$B:$B,MATCH(B89,T2_GroupSKU!$A:$A,0)),"")</f>
        <v>FOT (Full Open Top) Drum - 220.0 LTR</v>
      </c>
      <c r="D89" s="10" t="str">
        <f t="array" ref="D89">IFERROR(INDEX(T1_ProductType!$B:$B,MATCH(INDEX(T2_GroupSKU!$C:$C,MATCH(B89,T2_GroupSKU!$A:$A,0)),T1_ProductType!$A:$A,0)),"")</f>
        <v>FOT (Full Open Top) Drum</v>
      </c>
      <c r="E89" s="10" t="str">
        <f t="array" ref="E89">IFERROR(INDEX(T1_ProductType!$C:$C,MATCH(INDEX(T2_GroupSKU!$C:$C,MATCH(B89,T2_GroupSKU!$A:$A,0)),T1_ProductType!$A:$A,0)),"")</f>
        <v>Drum</v>
      </c>
      <c r="F89" s="10" t="str">
        <f t="array" ref="F89">IFERROR(INDEX(T1_ProductType!$D:$D,MATCH(INDEX(T2_GroupSKU!$C:$C,MATCH(B89,T2_GroupSKU!$A:$A,0)),T1_ProductType!$A:$A,0)),"")</f>
        <v>Plastic Barrels</v>
      </c>
      <c r="G89" s="10" t="str">
        <f t="array" ref="G89">IFERROR(IF(INDEX(T1_ProductType!$E:$E,MATCH(INDEX(T2_GroupSKU!$C:$C,MATCH(B89,T2_GroupSKU!$A:$A,0)),T1_ProductType!$A:$A,0))="","-",INDEX(T1_ProductType!$E:$E,MATCH(INDEX(T2_GroupSKU!$C:$C,MATCH(B89,T2_GroupSKU!$A:$A,0)),T1_ProductType!$A:$A,0))),"-")</f>
        <v>Fully Open Top Drum</v>
      </c>
      <c r="H89" s="10">
        <f t="array" ref="H89">IFERROR(IF(INDEX(T2_GroupSKU!$D:$D,MATCH(B89,T2_GroupSKU!$A:$A,0))="","-",INDEX(T2_GroupSKU!$D:$D,MATCH(B89,T2_GroupSKU!$A:$A,0))),"-")</f>
        <v>220</v>
      </c>
      <c r="I89" s="10" t="str">
        <f t="array" ref="I89">IFERROR(IF(INDEX(T2_GroupSKU!$E:$E,MATCH(B89,T2_GroupSKU!$A:$A,0))="","-",INDEX(T2_GroupSKU!$E:$E,MATCH(B89,T2_GroupSKU!$A:$A,0))),"-")</f>
        <v>LTR</v>
      </c>
      <c r="J89" s="10" t="str">
        <f>T3_SKU!C89</f>
        <v>Blue / 7.5 KG</v>
      </c>
      <c r="K89" s="10" t="str">
        <f>T3_SKU!D89</f>
        <v>220 LTR BLUE FOT 7.5 KG</v>
      </c>
      <c r="L89" s="10" t="str">
        <f>T3_SKU!E89</f>
        <v>NOS</v>
      </c>
      <c r="M89" s="10" t="str">
        <f>T3_SKU!F89</f>
        <v>39233090</v>
      </c>
    </row>
    <row r="90" ht="15.0" customHeight="1">
      <c r="A90" s="10" t="str">
        <f>T3_SKU!A90</f>
        <v>FOTD-220-BLU-79KG</v>
      </c>
      <c r="B90" s="10" t="str">
        <f>T3_SKU!B90</f>
        <v>FOTD-220</v>
      </c>
      <c r="C90" s="10" t="str">
        <f t="array" ref="C90">IFERROR(INDEX(T2_GroupSKU!$B:$B,MATCH(B90,T2_GroupSKU!$A:$A,0)),"")</f>
        <v>FOT (Full Open Top) Drum - 220.0 LTR</v>
      </c>
      <c r="D90" s="10" t="str">
        <f t="array" ref="D90">IFERROR(INDEX(T1_ProductType!$B:$B,MATCH(INDEX(T2_GroupSKU!$C:$C,MATCH(B90,T2_GroupSKU!$A:$A,0)),T1_ProductType!$A:$A,0)),"")</f>
        <v>FOT (Full Open Top) Drum</v>
      </c>
      <c r="E90" s="10" t="str">
        <f t="array" ref="E90">IFERROR(INDEX(T1_ProductType!$C:$C,MATCH(INDEX(T2_GroupSKU!$C:$C,MATCH(B90,T2_GroupSKU!$A:$A,0)),T1_ProductType!$A:$A,0)),"")</f>
        <v>Drum</v>
      </c>
      <c r="F90" s="10" t="str">
        <f t="array" ref="F90">IFERROR(INDEX(T1_ProductType!$D:$D,MATCH(INDEX(T2_GroupSKU!$C:$C,MATCH(B90,T2_GroupSKU!$A:$A,0)),T1_ProductType!$A:$A,0)),"")</f>
        <v>Plastic Barrels</v>
      </c>
      <c r="G90" s="10" t="str">
        <f t="array" ref="G90">IFERROR(IF(INDEX(T1_ProductType!$E:$E,MATCH(INDEX(T2_GroupSKU!$C:$C,MATCH(B90,T2_GroupSKU!$A:$A,0)),T1_ProductType!$A:$A,0))="","-",INDEX(T1_ProductType!$E:$E,MATCH(INDEX(T2_GroupSKU!$C:$C,MATCH(B90,T2_GroupSKU!$A:$A,0)),T1_ProductType!$A:$A,0))),"-")</f>
        <v>Fully Open Top Drum</v>
      </c>
      <c r="H90" s="10">
        <f t="array" ref="H90">IFERROR(IF(INDEX(T2_GroupSKU!$D:$D,MATCH(B90,T2_GroupSKU!$A:$A,0))="","-",INDEX(T2_GroupSKU!$D:$D,MATCH(B90,T2_GroupSKU!$A:$A,0))),"-")</f>
        <v>220</v>
      </c>
      <c r="I90" s="10" t="str">
        <f t="array" ref="I90">IFERROR(IF(INDEX(T2_GroupSKU!$E:$E,MATCH(B90,T2_GroupSKU!$A:$A,0))="","-",INDEX(T2_GroupSKU!$E:$E,MATCH(B90,T2_GroupSKU!$A:$A,0))),"-")</f>
        <v>LTR</v>
      </c>
      <c r="J90" s="10" t="str">
        <f>T3_SKU!C90</f>
        <v>Blue / 7.9 KG</v>
      </c>
      <c r="K90" s="10" t="str">
        <f>T3_SKU!D90</f>
        <v>220 LTR BLUE FOT 7.9 KG</v>
      </c>
      <c r="L90" s="10" t="str">
        <f>T3_SKU!E90</f>
        <v>NOS</v>
      </c>
      <c r="M90" s="10" t="str">
        <f>T3_SKU!F90</f>
        <v>39233090</v>
      </c>
    </row>
    <row r="91" ht="15.0" customHeight="1">
      <c r="A91" s="10" t="str">
        <f>T3_SKU!A91</f>
        <v>FOTD-220-BLU-94KG</v>
      </c>
      <c r="B91" s="10" t="str">
        <f>T3_SKU!B91</f>
        <v>FOTD-220</v>
      </c>
      <c r="C91" s="10" t="str">
        <f t="array" ref="C91">IFERROR(INDEX(T2_GroupSKU!$B:$B,MATCH(B91,T2_GroupSKU!$A:$A,0)),"")</f>
        <v>FOT (Full Open Top) Drum - 220.0 LTR</v>
      </c>
      <c r="D91" s="10" t="str">
        <f t="array" ref="D91">IFERROR(INDEX(T1_ProductType!$B:$B,MATCH(INDEX(T2_GroupSKU!$C:$C,MATCH(B91,T2_GroupSKU!$A:$A,0)),T1_ProductType!$A:$A,0)),"")</f>
        <v>FOT (Full Open Top) Drum</v>
      </c>
      <c r="E91" s="10" t="str">
        <f t="array" ref="E91">IFERROR(INDEX(T1_ProductType!$C:$C,MATCH(INDEX(T2_GroupSKU!$C:$C,MATCH(B91,T2_GroupSKU!$A:$A,0)),T1_ProductType!$A:$A,0)),"")</f>
        <v>Drum</v>
      </c>
      <c r="F91" s="10" t="str">
        <f t="array" ref="F91">IFERROR(INDEX(T1_ProductType!$D:$D,MATCH(INDEX(T2_GroupSKU!$C:$C,MATCH(B91,T2_GroupSKU!$A:$A,0)),T1_ProductType!$A:$A,0)),"")</f>
        <v>Plastic Barrels</v>
      </c>
      <c r="G91" s="10" t="str">
        <f t="array" ref="G91">IFERROR(IF(INDEX(T1_ProductType!$E:$E,MATCH(INDEX(T2_GroupSKU!$C:$C,MATCH(B91,T2_GroupSKU!$A:$A,0)),T1_ProductType!$A:$A,0))="","-",INDEX(T1_ProductType!$E:$E,MATCH(INDEX(T2_GroupSKU!$C:$C,MATCH(B91,T2_GroupSKU!$A:$A,0)),T1_ProductType!$A:$A,0))),"-")</f>
        <v>Fully Open Top Drum</v>
      </c>
      <c r="H91" s="10">
        <f t="array" ref="H91">IFERROR(IF(INDEX(T2_GroupSKU!$D:$D,MATCH(B91,T2_GroupSKU!$A:$A,0))="","-",INDEX(T2_GroupSKU!$D:$D,MATCH(B91,T2_GroupSKU!$A:$A,0))),"-")</f>
        <v>220</v>
      </c>
      <c r="I91" s="10" t="str">
        <f t="array" ref="I91">IFERROR(IF(INDEX(T2_GroupSKU!$E:$E,MATCH(B91,T2_GroupSKU!$A:$A,0))="","-",INDEX(T2_GroupSKU!$E:$E,MATCH(B91,T2_GroupSKU!$A:$A,0))),"-")</f>
        <v>LTR</v>
      </c>
      <c r="J91" s="10" t="str">
        <f>T3_SKU!C91</f>
        <v>Blue / 9.4 KG</v>
      </c>
      <c r="K91" s="10" t="str">
        <f>T3_SKU!D91</f>
        <v>220 LTR BLUE FOT 9.4 KG</v>
      </c>
      <c r="L91" s="10" t="str">
        <f>T3_SKU!E91</f>
        <v>NOS</v>
      </c>
      <c r="M91" s="10" t="str">
        <f>T3_SKU!F91</f>
        <v>39233090</v>
      </c>
    </row>
    <row r="92" ht="15.0" customHeight="1">
      <c r="A92" s="10" t="str">
        <f>T3_SKU!A92</f>
        <v>FOTD-220-BLU-95KG</v>
      </c>
      <c r="B92" s="10" t="str">
        <f>T3_SKU!B92</f>
        <v>FOTD-220</v>
      </c>
      <c r="C92" s="10" t="str">
        <f t="array" ref="C92">IFERROR(INDEX(T2_GroupSKU!$B:$B,MATCH(B92,T2_GroupSKU!$A:$A,0)),"")</f>
        <v>FOT (Full Open Top) Drum - 220.0 LTR</v>
      </c>
      <c r="D92" s="10" t="str">
        <f t="array" ref="D92">IFERROR(INDEX(T1_ProductType!$B:$B,MATCH(INDEX(T2_GroupSKU!$C:$C,MATCH(B92,T2_GroupSKU!$A:$A,0)),T1_ProductType!$A:$A,0)),"")</f>
        <v>FOT (Full Open Top) Drum</v>
      </c>
      <c r="E92" s="10" t="str">
        <f t="array" ref="E92">IFERROR(INDEX(T1_ProductType!$C:$C,MATCH(INDEX(T2_GroupSKU!$C:$C,MATCH(B92,T2_GroupSKU!$A:$A,0)),T1_ProductType!$A:$A,0)),"")</f>
        <v>Drum</v>
      </c>
      <c r="F92" s="10" t="str">
        <f t="array" ref="F92">IFERROR(INDEX(T1_ProductType!$D:$D,MATCH(INDEX(T2_GroupSKU!$C:$C,MATCH(B92,T2_GroupSKU!$A:$A,0)),T1_ProductType!$A:$A,0)),"")</f>
        <v>Plastic Barrels</v>
      </c>
      <c r="G92" s="10" t="str">
        <f t="array" ref="G92">IFERROR(IF(INDEX(T1_ProductType!$E:$E,MATCH(INDEX(T2_GroupSKU!$C:$C,MATCH(B92,T2_GroupSKU!$A:$A,0)),T1_ProductType!$A:$A,0))="","-",INDEX(T1_ProductType!$E:$E,MATCH(INDEX(T2_GroupSKU!$C:$C,MATCH(B92,T2_GroupSKU!$A:$A,0)),T1_ProductType!$A:$A,0))),"-")</f>
        <v>Fully Open Top Drum</v>
      </c>
      <c r="H92" s="10">
        <f t="array" ref="H92">IFERROR(IF(INDEX(T2_GroupSKU!$D:$D,MATCH(B92,T2_GroupSKU!$A:$A,0))="","-",INDEX(T2_GroupSKU!$D:$D,MATCH(B92,T2_GroupSKU!$A:$A,0))),"-")</f>
        <v>220</v>
      </c>
      <c r="I92" s="10" t="str">
        <f t="array" ref="I92">IFERROR(IF(INDEX(T2_GroupSKU!$E:$E,MATCH(B92,T2_GroupSKU!$A:$A,0))="","-",INDEX(T2_GroupSKU!$E:$E,MATCH(B92,T2_GroupSKU!$A:$A,0))),"-")</f>
        <v>LTR</v>
      </c>
      <c r="J92" s="10" t="str">
        <f>T3_SKU!C92</f>
        <v>Blue / 9.5 KG</v>
      </c>
      <c r="K92" s="10" t="str">
        <f>T3_SKU!D92</f>
        <v>220 LTR BLUE FOT 9.5 KG</v>
      </c>
      <c r="L92" s="10" t="str">
        <f>T3_SKU!E92</f>
        <v>NOS</v>
      </c>
      <c r="M92" s="10" t="str">
        <f>T3_SKU!F92</f>
        <v>39233090</v>
      </c>
    </row>
    <row r="93" ht="15.0" customHeight="1">
      <c r="A93" s="10" t="str">
        <f>T3_SKU!A93</f>
        <v>FOTD-220-BLU-98KG</v>
      </c>
      <c r="B93" s="10" t="str">
        <f>T3_SKU!B93</f>
        <v>FOTD-220</v>
      </c>
      <c r="C93" s="10" t="str">
        <f t="array" ref="C93">IFERROR(INDEX(T2_GroupSKU!$B:$B,MATCH(B93,T2_GroupSKU!$A:$A,0)),"")</f>
        <v>FOT (Full Open Top) Drum - 220.0 LTR</v>
      </c>
      <c r="D93" s="10" t="str">
        <f t="array" ref="D93">IFERROR(INDEX(T1_ProductType!$B:$B,MATCH(INDEX(T2_GroupSKU!$C:$C,MATCH(B93,T2_GroupSKU!$A:$A,0)),T1_ProductType!$A:$A,0)),"")</f>
        <v>FOT (Full Open Top) Drum</v>
      </c>
      <c r="E93" s="10" t="str">
        <f t="array" ref="E93">IFERROR(INDEX(T1_ProductType!$C:$C,MATCH(INDEX(T2_GroupSKU!$C:$C,MATCH(B93,T2_GroupSKU!$A:$A,0)),T1_ProductType!$A:$A,0)),"")</f>
        <v>Drum</v>
      </c>
      <c r="F93" s="10" t="str">
        <f t="array" ref="F93">IFERROR(INDEX(T1_ProductType!$D:$D,MATCH(INDEX(T2_GroupSKU!$C:$C,MATCH(B93,T2_GroupSKU!$A:$A,0)),T1_ProductType!$A:$A,0)),"")</f>
        <v>Plastic Barrels</v>
      </c>
      <c r="G93" s="10" t="str">
        <f t="array" ref="G93">IFERROR(IF(INDEX(T1_ProductType!$E:$E,MATCH(INDEX(T2_GroupSKU!$C:$C,MATCH(B93,T2_GroupSKU!$A:$A,0)),T1_ProductType!$A:$A,0))="","-",INDEX(T1_ProductType!$E:$E,MATCH(INDEX(T2_GroupSKU!$C:$C,MATCH(B93,T2_GroupSKU!$A:$A,0)),T1_ProductType!$A:$A,0))),"-")</f>
        <v>Fully Open Top Drum</v>
      </c>
      <c r="H93" s="10">
        <f t="array" ref="H93">IFERROR(IF(INDEX(T2_GroupSKU!$D:$D,MATCH(B93,T2_GroupSKU!$A:$A,0))="","-",INDEX(T2_GroupSKU!$D:$D,MATCH(B93,T2_GroupSKU!$A:$A,0))),"-")</f>
        <v>220</v>
      </c>
      <c r="I93" s="10" t="str">
        <f t="array" ref="I93">IFERROR(IF(INDEX(T2_GroupSKU!$E:$E,MATCH(B93,T2_GroupSKU!$A:$A,0))="","-",INDEX(T2_GroupSKU!$E:$E,MATCH(B93,T2_GroupSKU!$A:$A,0))),"-")</f>
        <v>LTR</v>
      </c>
      <c r="J93" s="10" t="str">
        <f>T3_SKU!C93</f>
        <v>Blue / 9.8 KG</v>
      </c>
      <c r="K93" s="10" t="str">
        <f>T3_SKU!D93</f>
        <v>220 LTR BLUE FOT 9.8 KG</v>
      </c>
      <c r="L93" s="10" t="str">
        <f>T3_SKU!E93</f>
        <v>NOS</v>
      </c>
      <c r="M93" s="10" t="str">
        <f>T3_SKU!F93</f>
        <v>39233090</v>
      </c>
    </row>
    <row r="94" ht="15.0" customHeight="1">
      <c r="A94" s="10" t="str">
        <f>T3_SKU!A94</f>
        <v>FOTD-220-WHT-75KG</v>
      </c>
      <c r="B94" s="10" t="str">
        <f>T3_SKU!B94</f>
        <v>FOTD-220</v>
      </c>
      <c r="C94" s="10" t="str">
        <f t="array" ref="C94">IFERROR(INDEX(T2_GroupSKU!$B:$B,MATCH(B94,T2_GroupSKU!$A:$A,0)),"")</f>
        <v>FOT (Full Open Top) Drum - 220.0 LTR</v>
      </c>
      <c r="D94" s="10" t="str">
        <f t="array" ref="D94">IFERROR(INDEX(T1_ProductType!$B:$B,MATCH(INDEX(T2_GroupSKU!$C:$C,MATCH(B94,T2_GroupSKU!$A:$A,0)),T1_ProductType!$A:$A,0)),"")</f>
        <v>FOT (Full Open Top) Drum</v>
      </c>
      <c r="E94" s="10" t="str">
        <f t="array" ref="E94">IFERROR(INDEX(T1_ProductType!$C:$C,MATCH(INDEX(T2_GroupSKU!$C:$C,MATCH(B94,T2_GroupSKU!$A:$A,0)),T1_ProductType!$A:$A,0)),"")</f>
        <v>Drum</v>
      </c>
      <c r="F94" s="10" t="str">
        <f t="array" ref="F94">IFERROR(INDEX(T1_ProductType!$D:$D,MATCH(INDEX(T2_GroupSKU!$C:$C,MATCH(B94,T2_GroupSKU!$A:$A,0)),T1_ProductType!$A:$A,0)),"")</f>
        <v>Plastic Barrels</v>
      </c>
      <c r="G94" s="10" t="str">
        <f t="array" ref="G94">IFERROR(IF(INDEX(T1_ProductType!$E:$E,MATCH(INDEX(T2_GroupSKU!$C:$C,MATCH(B94,T2_GroupSKU!$A:$A,0)),T1_ProductType!$A:$A,0))="","-",INDEX(T1_ProductType!$E:$E,MATCH(INDEX(T2_GroupSKU!$C:$C,MATCH(B94,T2_GroupSKU!$A:$A,0)),T1_ProductType!$A:$A,0))),"-")</f>
        <v>Fully Open Top Drum</v>
      </c>
      <c r="H94" s="10">
        <f t="array" ref="H94">IFERROR(IF(INDEX(T2_GroupSKU!$D:$D,MATCH(B94,T2_GroupSKU!$A:$A,0))="","-",INDEX(T2_GroupSKU!$D:$D,MATCH(B94,T2_GroupSKU!$A:$A,0))),"-")</f>
        <v>220</v>
      </c>
      <c r="I94" s="10" t="str">
        <f t="array" ref="I94">IFERROR(IF(INDEX(T2_GroupSKU!$E:$E,MATCH(B94,T2_GroupSKU!$A:$A,0))="","-",INDEX(T2_GroupSKU!$E:$E,MATCH(B94,T2_GroupSKU!$A:$A,0))),"-")</f>
        <v>LTR</v>
      </c>
      <c r="J94" s="10" t="str">
        <f>T3_SKU!C94</f>
        <v>White / 7.5 KG</v>
      </c>
      <c r="K94" s="10" t="str">
        <f>T3_SKU!D94</f>
        <v>220 LTR WHITE FOT 7.5 KG</v>
      </c>
      <c r="L94" s="10" t="str">
        <f>T3_SKU!E94</f>
        <v>NOS</v>
      </c>
      <c r="M94" s="10" t="str">
        <f>T3_SKU!F94</f>
        <v>39233090</v>
      </c>
    </row>
    <row r="95" ht="15.0" customHeight="1">
      <c r="A95" s="10" t="str">
        <f>T3_SKU!A95</f>
        <v>FOTD-235-BLU-755KG</v>
      </c>
      <c r="B95" s="10" t="str">
        <f>T3_SKU!B95</f>
        <v>FOTD-235</v>
      </c>
      <c r="C95" s="10" t="str">
        <f t="array" ref="C95">IFERROR(INDEX(T2_GroupSKU!$B:$B,MATCH(B95,T2_GroupSKU!$A:$A,0)),"")</f>
        <v>FOT (Full Open Top) Drum - 235.0 LTR</v>
      </c>
      <c r="D95" s="10" t="str">
        <f t="array" ref="D95">IFERROR(INDEX(T1_ProductType!$B:$B,MATCH(INDEX(T2_GroupSKU!$C:$C,MATCH(B95,T2_GroupSKU!$A:$A,0)),T1_ProductType!$A:$A,0)),"")</f>
        <v>FOT (Full Open Top) Drum</v>
      </c>
      <c r="E95" s="10" t="str">
        <f t="array" ref="E95">IFERROR(INDEX(T1_ProductType!$C:$C,MATCH(INDEX(T2_GroupSKU!$C:$C,MATCH(B95,T2_GroupSKU!$A:$A,0)),T1_ProductType!$A:$A,0)),"")</f>
        <v>Drum</v>
      </c>
      <c r="F95" s="10" t="str">
        <f t="array" ref="F95">IFERROR(INDEX(T1_ProductType!$D:$D,MATCH(INDEX(T2_GroupSKU!$C:$C,MATCH(B95,T2_GroupSKU!$A:$A,0)),T1_ProductType!$A:$A,0)),"")</f>
        <v>Plastic Barrels</v>
      </c>
      <c r="G95" s="10" t="str">
        <f t="array" ref="G95">IFERROR(IF(INDEX(T1_ProductType!$E:$E,MATCH(INDEX(T2_GroupSKU!$C:$C,MATCH(B95,T2_GroupSKU!$A:$A,0)),T1_ProductType!$A:$A,0))="","-",INDEX(T1_ProductType!$E:$E,MATCH(INDEX(T2_GroupSKU!$C:$C,MATCH(B95,T2_GroupSKU!$A:$A,0)),T1_ProductType!$A:$A,0))),"-")</f>
        <v>Fully Open Top Drum</v>
      </c>
      <c r="H95" s="10">
        <f t="array" ref="H95">IFERROR(IF(INDEX(T2_GroupSKU!$D:$D,MATCH(B95,T2_GroupSKU!$A:$A,0))="","-",INDEX(T2_GroupSKU!$D:$D,MATCH(B95,T2_GroupSKU!$A:$A,0))),"-")</f>
        <v>235</v>
      </c>
      <c r="I95" s="10" t="str">
        <f t="array" ref="I95">IFERROR(IF(INDEX(T2_GroupSKU!$E:$E,MATCH(B95,T2_GroupSKU!$A:$A,0))="","-",INDEX(T2_GroupSKU!$E:$E,MATCH(B95,T2_GroupSKU!$A:$A,0))),"-")</f>
        <v>LTR</v>
      </c>
      <c r="J95" s="10" t="str">
        <f>T3_SKU!C95</f>
        <v>Blue / 7.55 KG</v>
      </c>
      <c r="K95" s="10" t="str">
        <f>T3_SKU!D95</f>
        <v>235 LTR BLUE FOT 7.55 KG</v>
      </c>
      <c r="L95" s="10" t="str">
        <f>T3_SKU!E95</f>
        <v>NOS</v>
      </c>
      <c r="M95" s="10" t="str">
        <f>T3_SKU!F95</f>
        <v>39233090</v>
      </c>
    </row>
    <row r="96" ht="15.0" customHeight="1">
      <c r="A96" s="10" t="str">
        <f>T3_SKU!A96</f>
        <v>FOTD-235-BLU-76KG</v>
      </c>
      <c r="B96" s="10" t="str">
        <f>T3_SKU!B96</f>
        <v>FOTD-235</v>
      </c>
      <c r="C96" s="10" t="str">
        <f t="array" ref="C96">IFERROR(INDEX(T2_GroupSKU!$B:$B,MATCH(B96,T2_GroupSKU!$A:$A,0)),"")</f>
        <v>FOT (Full Open Top) Drum - 235.0 LTR</v>
      </c>
      <c r="D96" s="10" t="str">
        <f t="array" ref="D96">IFERROR(INDEX(T1_ProductType!$B:$B,MATCH(INDEX(T2_GroupSKU!$C:$C,MATCH(B96,T2_GroupSKU!$A:$A,0)),T1_ProductType!$A:$A,0)),"")</f>
        <v>FOT (Full Open Top) Drum</v>
      </c>
      <c r="E96" s="10" t="str">
        <f t="array" ref="E96">IFERROR(INDEX(T1_ProductType!$C:$C,MATCH(INDEX(T2_GroupSKU!$C:$C,MATCH(B96,T2_GroupSKU!$A:$A,0)),T1_ProductType!$A:$A,0)),"")</f>
        <v>Drum</v>
      </c>
      <c r="F96" s="10" t="str">
        <f t="array" ref="F96">IFERROR(INDEX(T1_ProductType!$D:$D,MATCH(INDEX(T2_GroupSKU!$C:$C,MATCH(B96,T2_GroupSKU!$A:$A,0)),T1_ProductType!$A:$A,0)),"")</f>
        <v>Plastic Barrels</v>
      </c>
      <c r="G96" s="10" t="str">
        <f t="array" ref="G96">IFERROR(IF(INDEX(T1_ProductType!$E:$E,MATCH(INDEX(T2_GroupSKU!$C:$C,MATCH(B96,T2_GroupSKU!$A:$A,0)),T1_ProductType!$A:$A,0))="","-",INDEX(T1_ProductType!$E:$E,MATCH(INDEX(T2_GroupSKU!$C:$C,MATCH(B96,T2_GroupSKU!$A:$A,0)),T1_ProductType!$A:$A,0))),"-")</f>
        <v>Fully Open Top Drum</v>
      </c>
      <c r="H96" s="10">
        <f t="array" ref="H96">IFERROR(IF(INDEX(T2_GroupSKU!$D:$D,MATCH(B96,T2_GroupSKU!$A:$A,0))="","-",INDEX(T2_GroupSKU!$D:$D,MATCH(B96,T2_GroupSKU!$A:$A,0))),"-")</f>
        <v>235</v>
      </c>
      <c r="I96" s="10" t="str">
        <f t="array" ref="I96">IFERROR(IF(INDEX(T2_GroupSKU!$E:$E,MATCH(B96,T2_GroupSKU!$A:$A,0))="","-",INDEX(T2_GroupSKU!$E:$E,MATCH(B96,T2_GroupSKU!$A:$A,0))),"-")</f>
        <v>LTR</v>
      </c>
      <c r="J96" s="10" t="str">
        <f>T3_SKU!C96</f>
        <v>Blue / 7.6 KG</v>
      </c>
      <c r="K96" s="10" t="str">
        <f>T3_SKU!D96</f>
        <v>235 LTR BLUE FOT 7.6 KG</v>
      </c>
      <c r="L96" s="10" t="str">
        <f>T3_SKU!E96</f>
        <v>NOS</v>
      </c>
      <c r="M96" s="10" t="str">
        <f>T3_SKU!F96</f>
        <v>39233090</v>
      </c>
    </row>
    <row r="97" ht="15.0" customHeight="1">
      <c r="A97" s="10" t="str">
        <f>T3_SKU!A97</f>
        <v>FOTD-235-BLU-78KG</v>
      </c>
      <c r="B97" s="10" t="str">
        <f>T3_SKU!B97</f>
        <v>FOTD-235</v>
      </c>
      <c r="C97" s="10" t="str">
        <f t="array" ref="C97">IFERROR(INDEX(T2_GroupSKU!$B:$B,MATCH(B97,T2_GroupSKU!$A:$A,0)),"")</f>
        <v>FOT (Full Open Top) Drum - 235.0 LTR</v>
      </c>
      <c r="D97" s="10" t="str">
        <f t="array" ref="D97">IFERROR(INDEX(T1_ProductType!$B:$B,MATCH(INDEX(T2_GroupSKU!$C:$C,MATCH(B97,T2_GroupSKU!$A:$A,0)),T1_ProductType!$A:$A,0)),"")</f>
        <v>FOT (Full Open Top) Drum</v>
      </c>
      <c r="E97" s="10" t="str">
        <f t="array" ref="E97">IFERROR(INDEX(T1_ProductType!$C:$C,MATCH(INDEX(T2_GroupSKU!$C:$C,MATCH(B97,T2_GroupSKU!$A:$A,0)),T1_ProductType!$A:$A,0)),"")</f>
        <v>Drum</v>
      </c>
      <c r="F97" s="10" t="str">
        <f t="array" ref="F97">IFERROR(INDEX(T1_ProductType!$D:$D,MATCH(INDEX(T2_GroupSKU!$C:$C,MATCH(B97,T2_GroupSKU!$A:$A,0)),T1_ProductType!$A:$A,0)),"")</f>
        <v>Plastic Barrels</v>
      </c>
      <c r="G97" s="10" t="str">
        <f t="array" ref="G97">IFERROR(IF(INDEX(T1_ProductType!$E:$E,MATCH(INDEX(T2_GroupSKU!$C:$C,MATCH(B97,T2_GroupSKU!$A:$A,0)),T1_ProductType!$A:$A,0))="","-",INDEX(T1_ProductType!$E:$E,MATCH(INDEX(T2_GroupSKU!$C:$C,MATCH(B97,T2_GroupSKU!$A:$A,0)),T1_ProductType!$A:$A,0))),"-")</f>
        <v>Fully Open Top Drum</v>
      </c>
      <c r="H97" s="10">
        <f t="array" ref="H97">IFERROR(IF(INDEX(T2_GroupSKU!$D:$D,MATCH(B97,T2_GroupSKU!$A:$A,0))="","-",INDEX(T2_GroupSKU!$D:$D,MATCH(B97,T2_GroupSKU!$A:$A,0))),"-")</f>
        <v>235</v>
      </c>
      <c r="I97" s="10" t="str">
        <f t="array" ref="I97">IFERROR(IF(INDEX(T2_GroupSKU!$E:$E,MATCH(B97,T2_GroupSKU!$A:$A,0))="","-",INDEX(T2_GroupSKU!$E:$E,MATCH(B97,T2_GroupSKU!$A:$A,0))),"-")</f>
        <v>LTR</v>
      </c>
      <c r="J97" s="10" t="str">
        <f>T3_SKU!C97</f>
        <v>Blue / 7.8 KG</v>
      </c>
      <c r="K97" s="10" t="str">
        <f>T3_SKU!D97</f>
        <v>235 LTR BLUE FOT 7.8 KG</v>
      </c>
      <c r="L97" s="10" t="str">
        <f>T3_SKU!E97</f>
        <v>NOS</v>
      </c>
      <c r="M97" s="10" t="str">
        <f>T3_SKU!F97</f>
        <v>39233090</v>
      </c>
    </row>
    <row r="98" ht="15.0" customHeight="1">
      <c r="A98" s="10" t="str">
        <f>T3_SKU!A98</f>
        <v>FOTD-235-BLU-795KG</v>
      </c>
      <c r="B98" s="10" t="str">
        <f>T3_SKU!B98</f>
        <v>FOTD-235</v>
      </c>
      <c r="C98" s="10" t="str">
        <f t="array" ref="C98">IFERROR(INDEX(T2_GroupSKU!$B:$B,MATCH(B98,T2_GroupSKU!$A:$A,0)),"")</f>
        <v>FOT (Full Open Top) Drum - 235.0 LTR</v>
      </c>
      <c r="D98" s="10" t="str">
        <f t="array" ref="D98">IFERROR(INDEX(T1_ProductType!$B:$B,MATCH(INDEX(T2_GroupSKU!$C:$C,MATCH(B98,T2_GroupSKU!$A:$A,0)),T1_ProductType!$A:$A,0)),"")</f>
        <v>FOT (Full Open Top) Drum</v>
      </c>
      <c r="E98" s="10" t="str">
        <f t="array" ref="E98">IFERROR(INDEX(T1_ProductType!$C:$C,MATCH(INDEX(T2_GroupSKU!$C:$C,MATCH(B98,T2_GroupSKU!$A:$A,0)),T1_ProductType!$A:$A,0)),"")</f>
        <v>Drum</v>
      </c>
      <c r="F98" s="10" t="str">
        <f t="array" ref="F98">IFERROR(INDEX(T1_ProductType!$D:$D,MATCH(INDEX(T2_GroupSKU!$C:$C,MATCH(B98,T2_GroupSKU!$A:$A,0)),T1_ProductType!$A:$A,0)),"")</f>
        <v>Plastic Barrels</v>
      </c>
      <c r="G98" s="10" t="str">
        <f t="array" ref="G98">IFERROR(IF(INDEX(T1_ProductType!$E:$E,MATCH(INDEX(T2_GroupSKU!$C:$C,MATCH(B98,T2_GroupSKU!$A:$A,0)),T1_ProductType!$A:$A,0))="","-",INDEX(T1_ProductType!$E:$E,MATCH(INDEX(T2_GroupSKU!$C:$C,MATCH(B98,T2_GroupSKU!$A:$A,0)),T1_ProductType!$A:$A,0))),"-")</f>
        <v>Fully Open Top Drum</v>
      </c>
      <c r="H98" s="10">
        <f t="array" ref="H98">IFERROR(IF(INDEX(T2_GroupSKU!$D:$D,MATCH(B98,T2_GroupSKU!$A:$A,0))="","-",INDEX(T2_GroupSKU!$D:$D,MATCH(B98,T2_GroupSKU!$A:$A,0))),"-")</f>
        <v>235</v>
      </c>
      <c r="I98" s="10" t="str">
        <f t="array" ref="I98">IFERROR(IF(INDEX(T2_GroupSKU!$E:$E,MATCH(B98,T2_GroupSKU!$A:$A,0))="","-",INDEX(T2_GroupSKU!$E:$E,MATCH(B98,T2_GroupSKU!$A:$A,0))),"-")</f>
        <v>LTR</v>
      </c>
      <c r="J98" s="10" t="str">
        <f>T3_SKU!C98</f>
        <v>Blue / 7.95 KG</v>
      </c>
      <c r="K98" s="10" t="str">
        <f>T3_SKU!D98</f>
        <v>235 LTR BLUE FOT 7.95 KG</v>
      </c>
      <c r="L98" s="10" t="str">
        <f>T3_SKU!E98</f>
        <v>NOS</v>
      </c>
      <c r="M98" s="10" t="str">
        <f>T3_SKU!F98</f>
        <v>39233090</v>
      </c>
    </row>
    <row r="99" ht="15.0" customHeight="1">
      <c r="A99" s="10" t="str">
        <f>T3_SKU!A99</f>
        <v>FOTD-235-BLU-79KG</v>
      </c>
      <c r="B99" s="10" t="str">
        <f>T3_SKU!B99</f>
        <v>FOTD-235</v>
      </c>
      <c r="C99" s="10" t="str">
        <f t="array" ref="C99">IFERROR(INDEX(T2_GroupSKU!$B:$B,MATCH(B99,T2_GroupSKU!$A:$A,0)),"")</f>
        <v>FOT (Full Open Top) Drum - 235.0 LTR</v>
      </c>
      <c r="D99" s="10" t="str">
        <f t="array" ref="D99">IFERROR(INDEX(T1_ProductType!$B:$B,MATCH(INDEX(T2_GroupSKU!$C:$C,MATCH(B99,T2_GroupSKU!$A:$A,0)),T1_ProductType!$A:$A,0)),"")</f>
        <v>FOT (Full Open Top) Drum</v>
      </c>
      <c r="E99" s="10" t="str">
        <f t="array" ref="E99">IFERROR(INDEX(T1_ProductType!$C:$C,MATCH(INDEX(T2_GroupSKU!$C:$C,MATCH(B99,T2_GroupSKU!$A:$A,0)),T1_ProductType!$A:$A,0)),"")</f>
        <v>Drum</v>
      </c>
      <c r="F99" s="10" t="str">
        <f t="array" ref="F99">IFERROR(INDEX(T1_ProductType!$D:$D,MATCH(INDEX(T2_GroupSKU!$C:$C,MATCH(B99,T2_GroupSKU!$A:$A,0)),T1_ProductType!$A:$A,0)),"")</f>
        <v>Plastic Barrels</v>
      </c>
      <c r="G99" s="10" t="str">
        <f t="array" ref="G99">IFERROR(IF(INDEX(T1_ProductType!$E:$E,MATCH(INDEX(T2_GroupSKU!$C:$C,MATCH(B99,T2_GroupSKU!$A:$A,0)),T1_ProductType!$A:$A,0))="","-",INDEX(T1_ProductType!$E:$E,MATCH(INDEX(T2_GroupSKU!$C:$C,MATCH(B99,T2_GroupSKU!$A:$A,0)),T1_ProductType!$A:$A,0))),"-")</f>
        <v>Fully Open Top Drum</v>
      </c>
      <c r="H99" s="10">
        <f t="array" ref="H99">IFERROR(IF(INDEX(T2_GroupSKU!$D:$D,MATCH(B99,T2_GroupSKU!$A:$A,0))="","-",INDEX(T2_GroupSKU!$D:$D,MATCH(B99,T2_GroupSKU!$A:$A,0))),"-")</f>
        <v>235</v>
      </c>
      <c r="I99" s="10" t="str">
        <f t="array" ref="I99">IFERROR(IF(INDEX(T2_GroupSKU!$E:$E,MATCH(B99,T2_GroupSKU!$A:$A,0))="","-",INDEX(T2_GroupSKU!$E:$E,MATCH(B99,T2_GroupSKU!$A:$A,0))),"-")</f>
        <v>LTR</v>
      </c>
      <c r="J99" s="10" t="str">
        <f>T3_SKU!C99</f>
        <v>Blue / 7.9 KG</v>
      </c>
      <c r="K99" s="10" t="str">
        <f>T3_SKU!D99</f>
        <v>235 LTR BLUE FOT 7.9 KG</v>
      </c>
      <c r="L99" s="10" t="str">
        <f>T3_SKU!E99</f>
        <v>NOS</v>
      </c>
      <c r="M99" s="10" t="str">
        <f>T3_SKU!F99</f>
        <v>39233090</v>
      </c>
    </row>
    <row r="100" ht="15.0" customHeight="1">
      <c r="A100" s="10" t="str">
        <f>T3_SKU!A100</f>
        <v>FOTD-235-BLU-94KG</v>
      </c>
      <c r="B100" s="10" t="str">
        <f>T3_SKU!B100</f>
        <v>FOTD-235</v>
      </c>
      <c r="C100" s="10" t="str">
        <f t="array" ref="C100">IFERROR(INDEX(T2_GroupSKU!$B:$B,MATCH(B100,T2_GroupSKU!$A:$A,0)),"")</f>
        <v>FOT (Full Open Top) Drum - 235.0 LTR</v>
      </c>
      <c r="D100" s="10" t="str">
        <f t="array" ref="D100">IFERROR(INDEX(T1_ProductType!$B:$B,MATCH(INDEX(T2_GroupSKU!$C:$C,MATCH(B100,T2_GroupSKU!$A:$A,0)),T1_ProductType!$A:$A,0)),"")</f>
        <v>FOT (Full Open Top) Drum</v>
      </c>
      <c r="E100" s="10" t="str">
        <f t="array" ref="E100">IFERROR(INDEX(T1_ProductType!$C:$C,MATCH(INDEX(T2_GroupSKU!$C:$C,MATCH(B100,T2_GroupSKU!$A:$A,0)),T1_ProductType!$A:$A,0)),"")</f>
        <v>Drum</v>
      </c>
      <c r="F100" s="10" t="str">
        <f t="array" ref="F100">IFERROR(INDEX(T1_ProductType!$D:$D,MATCH(INDEX(T2_GroupSKU!$C:$C,MATCH(B100,T2_GroupSKU!$A:$A,0)),T1_ProductType!$A:$A,0)),"")</f>
        <v>Plastic Barrels</v>
      </c>
      <c r="G100" s="10" t="str">
        <f t="array" ref="G100">IFERROR(IF(INDEX(T1_ProductType!$E:$E,MATCH(INDEX(T2_GroupSKU!$C:$C,MATCH(B100,T2_GroupSKU!$A:$A,0)),T1_ProductType!$A:$A,0))="","-",INDEX(T1_ProductType!$E:$E,MATCH(INDEX(T2_GroupSKU!$C:$C,MATCH(B100,T2_GroupSKU!$A:$A,0)),T1_ProductType!$A:$A,0))),"-")</f>
        <v>Fully Open Top Drum</v>
      </c>
      <c r="H100" s="10">
        <f t="array" ref="H100">IFERROR(IF(INDEX(T2_GroupSKU!$D:$D,MATCH(B100,T2_GroupSKU!$A:$A,0))="","-",INDEX(T2_GroupSKU!$D:$D,MATCH(B100,T2_GroupSKU!$A:$A,0))),"-")</f>
        <v>235</v>
      </c>
      <c r="I100" s="10" t="str">
        <f t="array" ref="I100">IFERROR(IF(INDEX(T2_GroupSKU!$E:$E,MATCH(B100,T2_GroupSKU!$A:$A,0))="","-",INDEX(T2_GroupSKU!$E:$E,MATCH(B100,T2_GroupSKU!$A:$A,0))),"-")</f>
        <v>LTR</v>
      </c>
      <c r="J100" s="10" t="str">
        <f>T3_SKU!C100</f>
        <v>Blue / 9.4 KG</v>
      </c>
      <c r="K100" s="10" t="str">
        <f>T3_SKU!D100</f>
        <v>235 LTR BLUE FOT 9.4 KG</v>
      </c>
      <c r="L100" s="10" t="str">
        <f>T3_SKU!E100</f>
        <v>NOS</v>
      </c>
      <c r="M100" s="10" t="str">
        <f>T3_SKU!F100</f>
        <v>39233090</v>
      </c>
    </row>
    <row r="101" ht="15.0" customHeight="1">
      <c r="A101" s="10" t="str">
        <f>T3_SKU!A101</f>
        <v>FOTD-235-BLU-95KG</v>
      </c>
      <c r="B101" s="10" t="str">
        <f>T3_SKU!B101</f>
        <v>FOTD-235</v>
      </c>
      <c r="C101" s="10" t="str">
        <f t="array" ref="C101">IFERROR(INDEX(T2_GroupSKU!$B:$B,MATCH(B101,T2_GroupSKU!$A:$A,0)),"")</f>
        <v>FOT (Full Open Top) Drum - 235.0 LTR</v>
      </c>
      <c r="D101" s="10" t="str">
        <f t="array" ref="D101">IFERROR(INDEX(T1_ProductType!$B:$B,MATCH(INDEX(T2_GroupSKU!$C:$C,MATCH(B101,T2_GroupSKU!$A:$A,0)),T1_ProductType!$A:$A,0)),"")</f>
        <v>FOT (Full Open Top) Drum</v>
      </c>
      <c r="E101" s="10" t="str">
        <f t="array" ref="E101">IFERROR(INDEX(T1_ProductType!$C:$C,MATCH(INDEX(T2_GroupSKU!$C:$C,MATCH(B101,T2_GroupSKU!$A:$A,0)),T1_ProductType!$A:$A,0)),"")</f>
        <v>Drum</v>
      </c>
      <c r="F101" s="10" t="str">
        <f t="array" ref="F101">IFERROR(INDEX(T1_ProductType!$D:$D,MATCH(INDEX(T2_GroupSKU!$C:$C,MATCH(B101,T2_GroupSKU!$A:$A,0)),T1_ProductType!$A:$A,0)),"")</f>
        <v>Plastic Barrels</v>
      </c>
      <c r="G101" s="10" t="str">
        <f t="array" ref="G101">IFERROR(IF(INDEX(T1_ProductType!$E:$E,MATCH(INDEX(T2_GroupSKU!$C:$C,MATCH(B101,T2_GroupSKU!$A:$A,0)),T1_ProductType!$A:$A,0))="","-",INDEX(T1_ProductType!$E:$E,MATCH(INDEX(T2_GroupSKU!$C:$C,MATCH(B101,T2_GroupSKU!$A:$A,0)),T1_ProductType!$A:$A,0))),"-")</f>
        <v>Fully Open Top Drum</v>
      </c>
      <c r="H101" s="10">
        <f t="array" ref="H101">IFERROR(IF(INDEX(T2_GroupSKU!$D:$D,MATCH(B101,T2_GroupSKU!$A:$A,0))="","-",INDEX(T2_GroupSKU!$D:$D,MATCH(B101,T2_GroupSKU!$A:$A,0))),"-")</f>
        <v>235</v>
      </c>
      <c r="I101" s="10" t="str">
        <f t="array" ref="I101">IFERROR(IF(INDEX(T2_GroupSKU!$E:$E,MATCH(B101,T2_GroupSKU!$A:$A,0))="","-",INDEX(T2_GroupSKU!$E:$E,MATCH(B101,T2_GroupSKU!$A:$A,0))),"-")</f>
        <v>LTR</v>
      </c>
      <c r="J101" s="10" t="str">
        <f>T3_SKU!C101</f>
        <v>Blue / 9.5 KG</v>
      </c>
      <c r="K101" s="10" t="str">
        <f>T3_SKU!D101</f>
        <v>235 LTR BLUE FOT 9.5 KG</v>
      </c>
      <c r="L101" s="10" t="str">
        <f>T3_SKU!E101</f>
        <v>NOS</v>
      </c>
      <c r="M101" s="10" t="str">
        <f>T3_SKU!F101</f>
        <v>39233090</v>
      </c>
    </row>
    <row r="102" ht="15.0" customHeight="1">
      <c r="A102" s="10" t="str">
        <f>T3_SKU!A102</f>
        <v>FOTD-235-BLU-96KG</v>
      </c>
      <c r="B102" s="10" t="str">
        <f>T3_SKU!B102</f>
        <v>FOTD-235</v>
      </c>
      <c r="C102" s="10" t="str">
        <f t="array" ref="C102">IFERROR(INDEX(T2_GroupSKU!$B:$B,MATCH(B102,T2_GroupSKU!$A:$A,0)),"")</f>
        <v>FOT (Full Open Top) Drum - 235.0 LTR</v>
      </c>
      <c r="D102" s="10" t="str">
        <f t="array" ref="D102">IFERROR(INDEX(T1_ProductType!$B:$B,MATCH(INDEX(T2_GroupSKU!$C:$C,MATCH(B102,T2_GroupSKU!$A:$A,0)),T1_ProductType!$A:$A,0)),"")</f>
        <v>FOT (Full Open Top) Drum</v>
      </c>
      <c r="E102" s="10" t="str">
        <f t="array" ref="E102">IFERROR(INDEX(T1_ProductType!$C:$C,MATCH(INDEX(T2_GroupSKU!$C:$C,MATCH(B102,T2_GroupSKU!$A:$A,0)),T1_ProductType!$A:$A,0)),"")</f>
        <v>Drum</v>
      </c>
      <c r="F102" s="10" t="str">
        <f t="array" ref="F102">IFERROR(INDEX(T1_ProductType!$D:$D,MATCH(INDEX(T2_GroupSKU!$C:$C,MATCH(B102,T2_GroupSKU!$A:$A,0)),T1_ProductType!$A:$A,0)),"")</f>
        <v>Plastic Barrels</v>
      </c>
      <c r="G102" s="10" t="str">
        <f t="array" ref="G102">IFERROR(IF(INDEX(T1_ProductType!$E:$E,MATCH(INDEX(T2_GroupSKU!$C:$C,MATCH(B102,T2_GroupSKU!$A:$A,0)),T1_ProductType!$A:$A,0))="","-",INDEX(T1_ProductType!$E:$E,MATCH(INDEX(T2_GroupSKU!$C:$C,MATCH(B102,T2_GroupSKU!$A:$A,0)),T1_ProductType!$A:$A,0))),"-")</f>
        <v>Fully Open Top Drum</v>
      </c>
      <c r="H102" s="10">
        <f t="array" ref="H102">IFERROR(IF(INDEX(T2_GroupSKU!$D:$D,MATCH(B102,T2_GroupSKU!$A:$A,0))="","-",INDEX(T2_GroupSKU!$D:$D,MATCH(B102,T2_GroupSKU!$A:$A,0))),"-")</f>
        <v>235</v>
      </c>
      <c r="I102" s="10" t="str">
        <f t="array" ref="I102">IFERROR(IF(INDEX(T2_GroupSKU!$E:$E,MATCH(B102,T2_GroupSKU!$A:$A,0))="","-",INDEX(T2_GroupSKU!$E:$E,MATCH(B102,T2_GroupSKU!$A:$A,0))),"-")</f>
        <v>LTR</v>
      </c>
      <c r="J102" s="10" t="str">
        <f>T3_SKU!C102</f>
        <v>Blue / 9.6 KG</v>
      </c>
      <c r="K102" s="10" t="str">
        <f>T3_SKU!D102</f>
        <v>235 LTR BLUE FOT 9.6 KG</v>
      </c>
      <c r="L102" s="10" t="str">
        <f>T3_SKU!E102</f>
        <v>NOS</v>
      </c>
      <c r="M102" s="10" t="str">
        <f>T3_SKU!F102</f>
        <v>39233090</v>
      </c>
    </row>
    <row r="103" ht="15.0" customHeight="1">
      <c r="A103" s="10" t="str">
        <f>T3_SKU!A103</f>
        <v>FOTD-235-BLU-97KG-1</v>
      </c>
      <c r="B103" s="10" t="str">
        <f>T3_SKU!B103</f>
        <v>FOTD-235</v>
      </c>
      <c r="C103" s="10" t="str">
        <f t="array" ref="C103">IFERROR(INDEX(T2_GroupSKU!$B:$B,MATCH(B103,T2_GroupSKU!$A:$A,0)),"")</f>
        <v>FOT (Full Open Top) Drum - 235.0 LTR</v>
      </c>
      <c r="D103" s="10" t="str">
        <f t="array" ref="D103">IFERROR(INDEX(T1_ProductType!$B:$B,MATCH(INDEX(T2_GroupSKU!$C:$C,MATCH(B103,T2_GroupSKU!$A:$A,0)),T1_ProductType!$A:$A,0)),"")</f>
        <v>FOT (Full Open Top) Drum</v>
      </c>
      <c r="E103" s="10" t="str">
        <f t="array" ref="E103">IFERROR(INDEX(T1_ProductType!$C:$C,MATCH(INDEX(T2_GroupSKU!$C:$C,MATCH(B103,T2_GroupSKU!$A:$A,0)),T1_ProductType!$A:$A,0)),"")</f>
        <v>Drum</v>
      </c>
      <c r="F103" s="10" t="str">
        <f t="array" ref="F103">IFERROR(INDEX(T1_ProductType!$D:$D,MATCH(INDEX(T2_GroupSKU!$C:$C,MATCH(B103,T2_GroupSKU!$A:$A,0)),T1_ProductType!$A:$A,0)),"")</f>
        <v>Plastic Barrels</v>
      </c>
      <c r="G103" s="10" t="str">
        <f t="array" ref="G103">IFERROR(IF(INDEX(T1_ProductType!$E:$E,MATCH(INDEX(T2_GroupSKU!$C:$C,MATCH(B103,T2_GroupSKU!$A:$A,0)),T1_ProductType!$A:$A,0))="","-",INDEX(T1_ProductType!$E:$E,MATCH(INDEX(T2_GroupSKU!$C:$C,MATCH(B103,T2_GroupSKU!$A:$A,0)),T1_ProductType!$A:$A,0))),"-")</f>
        <v>Fully Open Top Drum</v>
      </c>
      <c r="H103" s="10">
        <f t="array" ref="H103">IFERROR(IF(INDEX(T2_GroupSKU!$D:$D,MATCH(B103,T2_GroupSKU!$A:$A,0))="","-",INDEX(T2_GroupSKU!$D:$D,MATCH(B103,T2_GroupSKU!$A:$A,0))),"-")</f>
        <v>235</v>
      </c>
      <c r="I103" s="10" t="str">
        <f t="array" ref="I103">IFERROR(IF(INDEX(T2_GroupSKU!$E:$E,MATCH(B103,T2_GroupSKU!$A:$A,0))="","-",INDEX(T2_GroupSKU!$E:$E,MATCH(B103,T2_GroupSKU!$A:$A,0))),"-")</f>
        <v>LTR</v>
      </c>
      <c r="J103" s="10" t="str">
        <f>T3_SKU!C103</f>
        <v>Blue / 9.7 KG</v>
      </c>
      <c r="K103" s="10" t="str">
        <f>T3_SKU!D103</f>
        <v>235 LTR BLUE FOT  9.7 KG</v>
      </c>
      <c r="L103" s="10" t="str">
        <f>T3_SKU!E103</f>
        <v>NOS</v>
      </c>
      <c r="M103" s="10" t="str">
        <f>T3_SKU!F103</f>
        <v>39233090</v>
      </c>
    </row>
    <row r="104" ht="15.0" customHeight="1">
      <c r="A104" s="10" t="str">
        <f>T3_SKU!A104</f>
        <v>FOTD-235-BLU-97KG-2</v>
      </c>
      <c r="B104" s="10" t="str">
        <f>T3_SKU!B104</f>
        <v>FOTD-235</v>
      </c>
      <c r="C104" s="10" t="str">
        <f t="array" ref="C104">IFERROR(INDEX(T2_GroupSKU!$B:$B,MATCH(B104,T2_GroupSKU!$A:$A,0)),"")</f>
        <v>FOT (Full Open Top) Drum - 235.0 LTR</v>
      </c>
      <c r="D104" s="10" t="str">
        <f t="array" ref="D104">IFERROR(INDEX(T1_ProductType!$B:$B,MATCH(INDEX(T2_GroupSKU!$C:$C,MATCH(B104,T2_GroupSKU!$A:$A,0)),T1_ProductType!$A:$A,0)),"")</f>
        <v>FOT (Full Open Top) Drum</v>
      </c>
      <c r="E104" s="10" t="str">
        <f t="array" ref="E104">IFERROR(INDEX(T1_ProductType!$C:$C,MATCH(INDEX(T2_GroupSKU!$C:$C,MATCH(B104,T2_GroupSKU!$A:$A,0)),T1_ProductType!$A:$A,0)),"")</f>
        <v>Drum</v>
      </c>
      <c r="F104" s="10" t="str">
        <f t="array" ref="F104">IFERROR(INDEX(T1_ProductType!$D:$D,MATCH(INDEX(T2_GroupSKU!$C:$C,MATCH(B104,T2_GroupSKU!$A:$A,0)),T1_ProductType!$A:$A,0)),"")</f>
        <v>Plastic Barrels</v>
      </c>
      <c r="G104" s="10" t="str">
        <f t="array" ref="G104">IFERROR(IF(INDEX(T1_ProductType!$E:$E,MATCH(INDEX(T2_GroupSKU!$C:$C,MATCH(B104,T2_GroupSKU!$A:$A,0)),T1_ProductType!$A:$A,0))="","-",INDEX(T1_ProductType!$E:$E,MATCH(INDEX(T2_GroupSKU!$C:$C,MATCH(B104,T2_GroupSKU!$A:$A,0)),T1_ProductType!$A:$A,0))),"-")</f>
        <v>Fully Open Top Drum</v>
      </c>
      <c r="H104" s="10">
        <f t="array" ref="H104">IFERROR(IF(INDEX(T2_GroupSKU!$D:$D,MATCH(B104,T2_GroupSKU!$A:$A,0))="","-",INDEX(T2_GroupSKU!$D:$D,MATCH(B104,T2_GroupSKU!$A:$A,0))),"-")</f>
        <v>235</v>
      </c>
      <c r="I104" s="10" t="str">
        <f t="array" ref="I104">IFERROR(IF(INDEX(T2_GroupSKU!$E:$E,MATCH(B104,T2_GroupSKU!$A:$A,0))="","-",INDEX(T2_GroupSKU!$E:$E,MATCH(B104,T2_GroupSKU!$A:$A,0))),"-")</f>
        <v>LTR</v>
      </c>
      <c r="J104" s="10" t="str">
        <f>T3_SKU!C104</f>
        <v>Blue / 9.7 KG</v>
      </c>
      <c r="K104" s="10" t="str">
        <f>T3_SKU!D104</f>
        <v>235 LTR BLUE FOT 9.7 KG</v>
      </c>
      <c r="L104" s="10" t="str">
        <f>T3_SKU!E104</f>
        <v>NOS</v>
      </c>
      <c r="M104" s="10" t="str">
        <f>T3_SKU!F104</f>
        <v>39233090</v>
      </c>
    </row>
    <row r="105" ht="15.0" customHeight="1">
      <c r="A105" s="10" t="str">
        <f>T3_SKU!A105</f>
        <v>FOTD-235-BLU-98KG</v>
      </c>
      <c r="B105" s="10" t="str">
        <f>T3_SKU!B105</f>
        <v>FOTD-235</v>
      </c>
      <c r="C105" s="10" t="str">
        <f t="array" ref="C105">IFERROR(INDEX(T2_GroupSKU!$B:$B,MATCH(B105,T2_GroupSKU!$A:$A,0)),"")</f>
        <v>FOT (Full Open Top) Drum - 235.0 LTR</v>
      </c>
      <c r="D105" s="10" t="str">
        <f t="array" ref="D105">IFERROR(INDEX(T1_ProductType!$B:$B,MATCH(INDEX(T2_GroupSKU!$C:$C,MATCH(B105,T2_GroupSKU!$A:$A,0)),T1_ProductType!$A:$A,0)),"")</f>
        <v>FOT (Full Open Top) Drum</v>
      </c>
      <c r="E105" s="10" t="str">
        <f t="array" ref="E105">IFERROR(INDEX(T1_ProductType!$C:$C,MATCH(INDEX(T2_GroupSKU!$C:$C,MATCH(B105,T2_GroupSKU!$A:$A,0)),T1_ProductType!$A:$A,0)),"")</f>
        <v>Drum</v>
      </c>
      <c r="F105" s="10" t="str">
        <f t="array" ref="F105">IFERROR(INDEX(T1_ProductType!$D:$D,MATCH(INDEX(T2_GroupSKU!$C:$C,MATCH(B105,T2_GroupSKU!$A:$A,0)),T1_ProductType!$A:$A,0)),"")</f>
        <v>Plastic Barrels</v>
      </c>
      <c r="G105" s="10" t="str">
        <f t="array" ref="G105">IFERROR(IF(INDEX(T1_ProductType!$E:$E,MATCH(INDEX(T2_GroupSKU!$C:$C,MATCH(B105,T2_GroupSKU!$A:$A,0)),T1_ProductType!$A:$A,0))="","-",INDEX(T1_ProductType!$E:$E,MATCH(INDEX(T2_GroupSKU!$C:$C,MATCH(B105,T2_GroupSKU!$A:$A,0)),T1_ProductType!$A:$A,0))),"-")</f>
        <v>Fully Open Top Drum</v>
      </c>
      <c r="H105" s="10">
        <f t="array" ref="H105">IFERROR(IF(INDEX(T2_GroupSKU!$D:$D,MATCH(B105,T2_GroupSKU!$A:$A,0))="","-",INDEX(T2_GroupSKU!$D:$D,MATCH(B105,T2_GroupSKU!$A:$A,0))),"-")</f>
        <v>235</v>
      </c>
      <c r="I105" s="10" t="str">
        <f t="array" ref="I105">IFERROR(IF(INDEX(T2_GroupSKU!$E:$E,MATCH(B105,T2_GroupSKU!$A:$A,0))="","-",INDEX(T2_GroupSKU!$E:$E,MATCH(B105,T2_GroupSKU!$A:$A,0))),"-")</f>
        <v>LTR</v>
      </c>
      <c r="J105" s="10" t="str">
        <f>T3_SKU!C105</f>
        <v>Blue / 9.8 KG</v>
      </c>
      <c r="K105" s="10" t="str">
        <f>T3_SKU!D105</f>
        <v>235 LTR BLUE FOT 9.8 KG</v>
      </c>
      <c r="L105" s="10" t="str">
        <f>T3_SKU!E105</f>
        <v>NOS</v>
      </c>
      <c r="M105" s="10" t="str">
        <f>T3_SKU!F105</f>
        <v>39233090</v>
      </c>
    </row>
    <row r="106" ht="15.0" customHeight="1">
      <c r="A106" s="10" t="str">
        <f>T3_SKU!A106</f>
        <v>FOTD-235-BLU-99KG</v>
      </c>
      <c r="B106" s="10" t="str">
        <f>T3_SKU!B106</f>
        <v>FOTD-235</v>
      </c>
      <c r="C106" s="10" t="str">
        <f t="array" ref="C106">IFERROR(INDEX(T2_GroupSKU!$B:$B,MATCH(B106,T2_GroupSKU!$A:$A,0)),"")</f>
        <v>FOT (Full Open Top) Drum - 235.0 LTR</v>
      </c>
      <c r="D106" s="10" t="str">
        <f t="array" ref="D106">IFERROR(INDEX(T1_ProductType!$B:$B,MATCH(INDEX(T2_GroupSKU!$C:$C,MATCH(B106,T2_GroupSKU!$A:$A,0)),T1_ProductType!$A:$A,0)),"")</f>
        <v>FOT (Full Open Top) Drum</v>
      </c>
      <c r="E106" s="10" t="str">
        <f t="array" ref="E106">IFERROR(INDEX(T1_ProductType!$C:$C,MATCH(INDEX(T2_GroupSKU!$C:$C,MATCH(B106,T2_GroupSKU!$A:$A,0)),T1_ProductType!$A:$A,0)),"")</f>
        <v>Drum</v>
      </c>
      <c r="F106" s="10" t="str">
        <f t="array" ref="F106">IFERROR(INDEX(T1_ProductType!$D:$D,MATCH(INDEX(T2_GroupSKU!$C:$C,MATCH(B106,T2_GroupSKU!$A:$A,0)),T1_ProductType!$A:$A,0)),"")</f>
        <v>Plastic Barrels</v>
      </c>
      <c r="G106" s="10" t="str">
        <f t="array" ref="G106">IFERROR(IF(INDEX(T1_ProductType!$E:$E,MATCH(INDEX(T2_GroupSKU!$C:$C,MATCH(B106,T2_GroupSKU!$A:$A,0)),T1_ProductType!$A:$A,0))="","-",INDEX(T1_ProductType!$E:$E,MATCH(INDEX(T2_GroupSKU!$C:$C,MATCH(B106,T2_GroupSKU!$A:$A,0)),T1_ProductType!$A:$A,0))),"-")</f>
        <v>Fully Open Top Drum</v>
      </c>
      <c r="H106" s="10">
        <f t="array" ref="H106">IFERROR(IF(INDEX(T2_GroupSKU!$D:$D,MATCH(B106,T2_GroupSKU!$A:$A,0))="","-",INDEX(T2_GroupSKU!$D:$D,MATCH(B106,T2_GroupSKU!$A:$A,0))),"-")</f>
        <v>235</v>
      </c>
      <c r="I106" s="10" t="str">
        <f t="array" ref="I106">IFERROR(IF(INDEX(T2_GroupSKU!$E:$E,MATCH(B106,T2_GroupSKU!$A:$A,0))="","-",INDEX(T2_GroupSKU!$E:$E,MATCH(B106,T2_GroupSKU!$A:$A,0))),"-")</f>
        <v>LTR</v>
      </c>
      <c r="J106" s="10" t="str">
        <f>T3_SKU!C106</f>
        <v>Blue / 9.9 KG</v>
      </c>
      <c r="K106" s="10" t="str">
        <f>T3_SKU!D106</f>
        <v>235 LTR BLUE FOT 9.9 KG</v>
      </c>
      <c r="L106" s="10" t="str">
        <f>T3_SKU!E106</f>
        <v>NOS</v>
      </c>
      <c r="M106" s="10" t="str">
        <f>T3_SKU!F106</f>
        <v>39233090</v>
      </c>
    </row>
    <row r="107" ht="15.0" customHeight="1">
      <c r="A107" s="10" t="str">
        <f>T3_SKU!A107</f>
        <v>FOTD-240-BLU-76KG</v>
      </c>
      <c r="B107" s="10" t="str">
        <f>T3_SKU!B107</f>
        <v>FOTD-240</v>
      </c>
      <c r="C107" s="10" t="str">
        <f t="array" ref="C107">IFERROR(INDEX(T2_GroupSKU!$B:$B,MATCH(B107,T2_GroupSKU!$A:$A,0)),"")</f>
        <v>FOT (Full Open Top) Drum - 240.0 LTR</v>
      </c>
      <c r="D107" s="10" t="str">
        <f t="array" ref="D107">IFERROR(INDEX(T1_ProductType!$B:$B,MATCH(INDEX(T2_GroupSKU!$C:$C,MATCH(B107,T2_GroupSKU!$A:$A,0)),T1_ProductType!$A:$A,0)),"")</f>
        <v>FOT (Full Open Top) Drum</v>
      </c>
      <c r="E107" s="10" t="str">
        <f t="array" ref="E107">IFERROR(INDEX(T1_ProductType!$C:$C,MATCH(INDEX(T2_GroupSKU!$C:$C,MATCH(B107,T2_GroupSKU!$A:$A,0)),T1_ProductType!$A:$A,0)),"")</f>
        <v>Drum</v>
      </c>
      <c r="F107" s="10" t="str">
        <f t="array" ref="F107">IFERROR(INDEX(T1_ProductType!$D:$D,MATCH(INDEX(T2_GroupSKU!$C:$C,MATCH(B107,T2_GroupSKU!$A:$A,0)),T1_ProductType!$A:$A,0)),"")</f>
        <v>Plastic Barrels</v>
      </c>
      <c r="G107" s="10" t="str">
        <f t="array" ref="G107">IFERROR(IF(INDEX(T1_ProductType!$E:$E,MATCH(INDEX(T2_GroupSKU!$C:$C,MATCH(B107,T2_GroupSKU!$A:$A,0)),T1_ProductType!$A:$A,0))="","-",INDEX(T1_ProductType!$E:$E,MATCH(INDEX(T2_GroupSKU!$C:$C,MATCH(B107,T2_GroupSKU!$A:$A,0)),T1_ProductType!$A:$A,0))),"-")</f>
        <v>Fully Open Top Drum</v>
      </c>
      <c r="H107" s="10">
        <f t="array" ref="H107">IFERROR(IF(INDEX(T2_GroupSKU!$D:$D,MATCH(B107,T2_GroupSKU!$A:$A,0))="","-",INDEX(T2_GroupSKU!$D:$D,MATCH(B107,T2_GroupSKU!$A:$A,0))),"-")</f>
        <v>240</v>
      </c>
      <c r="I107" s="10" t="str">
        <f t="array" ref="I107">IFERROR(IF(INDEX(T2_GroupSKU!$E:$E,MATCH(B107,T2_GroupSKU!$A:$A,0))="","-",INDEX(T2_GroupSKU!$E:$E,MATCH(B107,T2_GroupSKU!$A:$A,0))),"-")</f>
        <v>LTR</v>
      </c>
      <c r="J107" s="10" t="str">
        <f>T3_SKU!C107</f>
        <v>Blue / 7.6 KG</v>
      </c>
      <c r="K107" s="10" t="str">
        <f>T3_SKU!D107</f>
        <v>240 LTR BLUE FOT 7.6 KG</v>
      </c>
      <c r="L107" s="10" t="str">
        <f>T3_SKU!E107</f>
        <v>NOS</v>
      </c>
      <c r="M107" s="10" t="str">
        <f>T3_SKU!F107</f>
        <v>39233090</v>
      </c>
    </row>
    <row r="108" ht="15.0" customHeight="1">
      <c r="A108" s="10" t="str">
        <f>T3_SKU!A108</f>
        <v>FOTD-240-BLU-78KG</v>
      </c>
      <c r="B108" s="10" t="str">
        <f>T3_SKU!B108</f>
        <v>FOTD-240</v>
      </c>
      <c r="C108" s="10" t="str">
        <f t="array" ref="C108">IFERROR(INDEX(T2_GroupSKU!$B:$B,MATCH(B108,T2_GroupSKU!$A:$A,0)),"")</f>
        <v>FOT (Full Open Top) Drum - 240.0 LTR</v>
      </c>
      <c r="D108" s="10" t="str">
        <f t="array" ref="D108">IFERROR(INDEX(T1_ProductType!$B:$B,MATCH(INDEX(T2_GroupSKU!$C:$C,MATCH(B108,T2_GroupSKU!$A:$A,0)),T1_ProductType!$A:$A,0)),"")</f>
        <v>FOT (Full Open Top) Drum</v>
      </c>
      <c r="E108" s="10" t="str">
        <f t="array" ref="E108">IFERROR(INDEX(T1_ProductType!$C:$C,MATCH(INDEX(T2_GroupSKU!$C:$C,MATCH(B108,T2_GroupSKU!$A:$A,0)),T1_ProductType!$A:$A,0)),"")</f>
        <v>Drum</v>
      </c>
      <c r="F108" s="10" t="str">
        <f t="array" ref="F108">IFERROR(INDEX(T1_ProductType!$D:$D,MATCH(INDEX(T2_GroupSKU!$C:$C,MATCH(B108,T2_GroupSKU!$A:$A,0)),T1_ProductType!$A:$A,0)),"")</f>
        <v>Plastic Barrels</v>
      </c>
      <c r="G108" s="10" t="str">
        <f t="array" ref="G108">IFERROR(IF(INDEX(T1_ProductType!$E:$E,MATCH(INDEX(T2_GroupSKU!$C:$C,MATCH(B108,T2_GroupSKU!$A:$A,0)),T1_ProductType!$A:$A,0))="","-",INDEX(T1_ProductType!$E:$E,MATCH(INDEX(T2_GroupSKU!$C:$C,MATCH(B108,T2_GroupSKU!$A:$A,0)),T1_ProductType!$A:$A,0))),"-")</f>
        <v>Fully Open Top Drum</v>
      </c>
      <c r="H108" s="10">
        <f t="array" ref="H108">IFERROR(IF(INDEX(T2_GroupSKU!$D:$D,MATCH(B108,T2_GroupSKU!$A:$A,0))="","-",INDEX(T2_GroupSKU!$D:$D,MATCH(B108,T2_GroupSKU!$A:$A,0))),"-")</f>
        <v>240</v>
      </c>
      <c r="I108" s="10" t="str">
        <f t="array" ref="I108">IFERROR(IF(INDEX(T2_GroupSKU!$E:$E,MATCH(B108,T2_GroupSKU!$A:$A,0))="","-",INDEX(T2_GroupSKU!$E:$E,MATCH(B108,T2_GroupSKU!$A:$A,0))),"-")</f>
        <v>LTR</v>
      </c>
      <c r="J108" s="10" t="str">
        <f>T3_SKU!C108</f>
        <v>Blue / 7.8 KG</v>
      </c>
      <c r="K108" s="10" t="str">
        <f>T3_SKU!D108</f>
        <v>240 LTR BLUE FOT 7.8 KG</v>
      </c>
      <c r="L108" s="10" t="str">
        <f>T3_SKU!E108</f>
        <v>NOS</v>
      </c>
      <c r="M108" s="10" t="str">
        <f>T3_SKU!F108</f>
        <v>39233090</v>
      </c>
    </row>
    <row r="109" ht="15.0" customHeight="1">
      <c r="A109" s="10" t="str">
        <f>T3_SKU!A109</f>
        <v>FOTD-240-BLU-95KG</v>
      </c>
      <c r="B109" s="10" t="str">
        <f>T3_SKU!B109</f>
        <v>FOTD-240</v>
      </c>
      <c r="C109" s="10" t="str">
        <f t="array" ref="C109">IFERROR(INDEX(T2_GroupSKU!$B:$B,MATCH(B109,T2_GroupSKU!$A:$A,0)),"")</f>
        <v>FOT (Full Open Top) Drum - 240.0 LTR</v>
      </c>
      <c r="D109" s="10" t="str">
        <f t="array" ref="D109">IFERROR(INDEX(T1_ProductType!$B:$B,MATCH(INDEX(T2_GroupSKU!$C:$C,MATCH(B109,T2_GroupSKU!$A:$A,0)),T1_ProductType!$A:$A,0)),"")</f>
        <v>FOT (Full Open Top) Drum</v>
      </c>
      <c r="E109" s="10" t="str">
        <f t="array" ref="E109">IFERROR(INDEX(T1_ProductType!$C:$C,MATCH(INDEX(T2_GroupSKU!$C:$C,MATCH(B109,T2_GroupSKU!$A:$A,0)),T1_ProductType!$A:$A,0)),"")</f>
        <v>Drum</v>
      </c>
      <c r="F109" s="10" t="str">
        <f t="array" ref="F109">IFERROR(INDEX(T1_ProductType!$D:$D,MATCH(INDEX(T2_GroupSKU!$C:$C,MATCH(B109,T2_GroupSKU!$A:$A,0)),T1_ProductType!$A:$A,0)),"")</f>
        <v>Plastic Barrels</v>
      </c>
      <c r="G109" s="10" t="str">
        <f t="array" ref="G109">IFERROR(IF(INDEX(T1_ProductType!$E:$E,MATCH(INDEX(T2_GroupSKU!$C:$C,MATCH(B109,T2_GroupSKU!$A:$A,0)),T1_ProductType!$A:$A,0))="","-",INDEX(T1_ProductType!$E:$E,MATCH(INDEX(T2_GroupSKU!$C:$C,MATCH(B109,T2_GroupSKU!$A:$A,0)),T1_ProductType!$A:$A,0))),"-")</f>
        <v>Fully Open Top Drum</v>
      </c>
      <c r="H109" s="10">
        <f t="array" ref="H109">IFERROR(IF(INDEX(T2_GroupSKU!$D:$D,MATCH(B109,T2_GroupSKU!$A:$A,0))="","-",INDEX(T2_GroupSKU!$D:$D,MATCH(B109,T2_GroupSKU!$A:$A,0))),"-")</f>
        <v>240</v>
      </c>
      <c r="I109" s="10" t="str">
        <f t="array" ref="I109">IFERROR(IF(INDEX(T2_GroupSKU!$E:$E,MATCH(B109,T2_GroupSKU!$A:$A,0))="","-",INDEX(T2_GroupSKU!$E:$E,MATCH(B109,T2_GroupSKU!$A:$A,0))),"-")</f>
        <v>LTR</v>
      </c>
      <c r="J109" s="10" t="str">
        <f>T3_SKU!C109</f>
        <v>Blue / 9.5 KG</v>
      </c>
      <c r="K109" s="10" t="str">
        <f>T3_SKU!D109</f>
        <v>240 LTR BLUE FOT 9.5 KG</v>
      </c>
      <c r="L109" s="10" t="str">
        <f>T3_SKU!E109</f>
        <v>NOS</v>
      </c>
      <c r="M109" s="10" t="str">
        <f>T3_SKU!F109</f>
        <v>39233090</v>
      </c>
    </row>
    <row r="110" ht="15.0" customHeight="1">
      <c r="A110" s="10" t="str">
        <f>T3_SKU!A110</f>
        <v>FOTD-240-BLU-97KG</v>
      </c>
      <c r="B110" s="10" t="str">
        <f>T3_SKU!B110</f>
        <v>FOTD-240</v>
      </c>
      <c r="C110" s="10" t="str">
        <f t="array" ref="C110">IFERROR(INDEX(T2_GroupSKU!$B:$B,MATCH(B110,T2_GroupSKU!$A:$A,0)),"")</f>
        <v>FOT (Full Open Top) Drum - 240.0 LTR</v>
      </c>
      <c r="D110" s="10" t="str">
        <f t="array" ref="D110">IFERROR(INDEX(T1_ProductType!$B:$B,MATCH(INDEX(T2_GroupSKU!$C:$C,MATCH(B110,T2_GroupSKU!$A:$A,0)),T1_ProductType!$A:$A,0)),"")</f>
        <v>FOT (Full Open Top) Drum</v>
      </c>
      <c r="E110" s="10" t="str">
        <f t="array" ref="E110">IFERROR(INDEX(T1_ProductType!$C:$C,MATCH(INDEX(T2_GroupSKU!$C:$C,MATCH(B110,T2_GroupSKU!$A:$A,0)),T1_ProductType!$A:$A,0)),"")</f>
        <v>Drum</v>
      </c>
      <c r="F110" s="10" t="str">
        <f t="array" ref="F110">IFERROR(INDEX(T1_ProductType!$D:$D,MATCH(INDEX(T2_GroupSKU!$C:$C,MATCH(B110,T2_GroupSKU!$A:$A,0)),T1_ProductType!$A:$A,0)),"")</f>
        <v>Plastic Barrels</v>
      </c>
      <c r="G110" s="10" t="str">
        <f t="array" ref="G110">IFERROR(IF(INDEX(T1_ProductType!$E:$E,MATCH(INDEX(T2_GroupSKU!$C:$C,MATCH(B110,T2_GroupSKU!$A:$A,0)),T1_ProductType!$A:$A,0))="","-",INDEX(T1_ProductType!$E:$E,MATCH(INDEX(T2_GroupSKU!$C:$C,MATCH(B110,T2_GroupSKU!$A:$A,0)),T1_ProductType!$A:$A,0))),"-")</f>
        <v>Fully Open Top Drum</v>
      </c>
      <c r="H110" s="10">
        <f t="array" ref="H110">IFERROR(IF(INDEX(T2_GroupSKU!$D:$D,MATCH(B110,T2_GroupSKU!$A:$A,0))="","-",INDEX(T2_GroupSKU!$D:$D,MATCH(B110,T2_GroupSKU!$A:$A,0))),"-")</f>
        <v>240</v>
      </c>
      <c r="I110" s="10" t="str">
        <f t="array" ref="I110">IFERROR(IF(INDEX(T2_GroupSKU!$E:$E,MATCH(B110,T2_GroupSKU!$A:$A,0))="","-",INDEX(T2_GroupSKU!$E:$E,MATCH(B110,T2_GroupSKU!$A:$A,0))),"-")</f>
        <v>LTR</v>
      </c>
      <c r="J110" s="10" t="str">
        <f>T3_SKU!C110</f>
        <v>Blue / 9.7 KG</v>
      </c>
      <c r="K110" s="10" t="str">
        <f>T3_SKU!D110</f>
        <v>240 LTR BLUE FOT 9.7 KG</v>
      </c>
      <c r="L110" s="10" t="str">
        <f>T3_SKU!E110</f>
        <v>NOS</v>
      </c>
      <c r="M110" s="10" t="str">
        <f>T3_SKU!F110</f>
        <v>39233090</v>
      </c>
    </row>
    <row r="111" ht="15.0" customHeight="1">
      <c r="A111" s="10" t="str">
        <f>T3_SKU!A111</f>
        <v>FOTD-30-BLU-18KG</v>
      </c>
      <c r="B111" s="10" t="str">
        <f>T3_SKU!B111</f>
        <v>FOTD-30</v>
      </c>
      <c r="C111" s="10" t="str">
        <f t="array" ref="C111">IFERROR(INDEX(T2_GroupSKU!$B:$B,MATCH(B111,T2_GroupSKU!$A:$A,0)),"")</f>
        <v>FOT (Full Open Top) Drum - 30.0 LTR</v>
      </c>
      <c r="D111" s="10" t="str">
        <f t="array" ref="D111">IFERROR(INDEX(T1_ProductType!$B:$B,MATCH(INDEX(T2_GroupSKU!$C:$C,MATCH(B111,T2_GroupSKU!$A:$A,0)),T1_ProductType!$A:$A,0)),"")</f>
        <v>FOT (Full Open Top) Drum</v>
      </c>
      <c r="E111" s="10" t="str">
        <f t="array" ref="E111">IFERROR(INDEX(T1_ProductType!$C:$C,MATCH(INDEX(T2_GroupSKU!$C:$C,MATCH(B111,T2_GroupSKU!$A:$A,0)),T1_ProductType!$A:$A,0)),"")</f>
        <v>Drum</v>
      </c>
      <c r="F111" s="10" t="str">
        <f t="array" ref="F111">IFERROR(INDEX(T1_ProductType!$D:$D,MATCH(INDEX(T2_GroupSKU!$C:$C,MATCH(B111,T2_GroupSKU!$A:$A,0)),T1_ProductType!$A:$A,0)),"")</f>
        <v>Plastic Barrels</v>
      </c>
      <c r="G111" s="10" t="str">
        <f t="array" ref="G111">IFERROR(IF(INDEX(T1_ProductType!$E:$E,MATCH(INDEX(T2_GroupSKU!$C:$C,MATCH(B111,T2_GroupSKU!$A:$A,0)),T1_ProductType!$A:$A,0))="","-",INDEX(T1_ProductType!$E:$E,MATCH(INDEX(T2_GroupSKU!$C:$C,MATCH(B111,T2_GroupSKU!$A:$A,0)),T1_ProductType!$A:$A,0))),"-")</f>
        <v>Fully Open Top Drum</v>
      </c>
      <c r="H111" s="10">
        <f t="array" ref="H111">IFERROR(IF(INDEX(T2_GroupSKU!$D:$D,MATCH(B111,T2_GroupSKU!$A:$A,0))="","-",INDEX(T2_GroupSKU!$D:$D,MATCH(B111,T2_GroupSKU!$A:$A,0))),"-")</f>
        <v>30</v>
      </c>
      <c r="I111" s="10" t="str">
        <f t="array" ref="I111">IFERROR(IF(INDEX(T2_GroupSKU!$E:$E,MATCH(B111,T2_GroupSKU!$A:$A,0))="","-",INDEX(T2_GroupSKU!$E:$E,MATCH(B111,T2_GroupSKU!$A:$A,0))),"-")</f>
        <v>LTR</v>
      </c>
      <c r="J111" s="10" t="str">
        <f>T3_SKU!C111</f>
        <v>Blue / 1.8 KG</v>
      </c>
      <c r="K111" s="10" t="str">
        <f>T3_SKU!D111</f>
        <v>30 LTR BLUE FOT 1.8 KG</v>
      </c>
      <c r="L111" s="10" t="str">
        <f>T3_SKU!E111</f>
        <v>NOS</v>
      </c>
      <c r="M111" s="10" t="str">
        <f>T3_SKU!F111</f>
        <v>39233090</v>
      </c>
    </row>
    <row r="112" ht="15.0" customHeight="1">
      <c r="A112" s="10" t="str">
        <f>T3_SKU!A112</f>
        <v>FOTD-30-BLU-20KG</v>
      </c>
      <c r="B112" s="10" t="str">
        <f>T3_SKU!B112</f>
        <v>FOTD-30</v>
      </c>
      <c r="C112" s="10" t="str">
        <f t="array" ref="C112">IFERROR(INDEX(T2_GroupSKU!$B:$B,MATCH(B112,T2_GroupSKU!$A:$A,0)),"")</f>
        <v>FOT (Full Open Top) Drum - 30.0 LTR</v>
      </c>
      <c r="D112" s="10" t="str">
        <f t="array" ref="D112">IFERROR(INDEX(T1_ProductType!$B:$B,MATCH(INDEX(T2_GroupSKU!$C:$C,MATCH(B112,T2_GroupSKU!$A:$A,0)),T1_ProductType!$A:$A,0)),"")</f>
        <v>FOT (Full Open Top) Drum</v>
      </c>
      <c r="E112" s="10" t="str">
        <f t="array" ref="E112">IFERROR(INDEX(T1_ProductType!$C:$C,MATCH(INDEX(T2_GroupSKU!$C:$C,MATCH(B112,T2_GroupSKU!$A:$A,0)),T1_ProductType!$A:$A,0)),"")</f>
        <v>Drum</v>
      </c>
      <c r="F112" s="10" t="str">
        <f t="array" ref="F112">IFERROR(INDEX(T1_ProductType!$D:$D,MATCH(INDEX(T2_GroupSKU!$C:$C,MATCH(B112,T2_GroupSKU!$A:$A,0)),T1_ProductType!$A:$A,0)),"")</f>
        <v>Plastic Barrels</v>
      </c>
      <c r="G112" s="10" t="str">
        <f t="array" ref="G112">IFERROR(IF(INDEX(T1_ProductType!$E:$E,MATCH(INDEX(T2_GroupSKU!$C:$C,MATCH(B112,T2_GroupSKU!$A:$A,0)),T1_ProductType!$A:$A,0))="","-",INDEX(T1_ProductType!$E:$E,MATCH(INDEX(T2_GroupSKU!$C:$C,MATCH(B112,T2_GroupSKU!$A:$A,0)),T1_ProductType!$A:$A,0))),"-")</f>
        <v>Fully Open Top Drum</v>
      </c>
      <c r="H112" s="10">
        <f t="array" ref="H112">IFERROR(IF(INDEX(T2_GroupSKU!$D:$D,MATCH(B112,T2_GroupSKU!$A:$A,0))="","-",INDEX(T2_GroupSKU!$D:$D,MATCH(B112,T2_GroupSKU!$A:$A,0))),"-")</f>
        <v>30</v>
      </c>
      <c r="I112" s="10" t="str">
        <f t="array" ref="I112">IFERROR(IF(INDEX(T2_GroupSKU!$E:$E,MATCH(B112,T2_GroupSKU!$A:$A,0))="","-",INDEX(T2_GroupSKU!$E:$E,MATCH(B112,T2_GroupSKU!$A:$A,0))),"-")</f>
        <v>LTR</v>
      </c>
      <c r="J112" s="10" t="str">
        <f>T3_SKU!C112</f>
        <v>Blue / 2.0 KG</v>
      </c>
      <c r="K112" s="10" t="str">
        <f>T3_SKU!D112</f>
        <v>30 LTR BLUE FOT 2.0 KG</v>
      </c>
      <c r="L112" s="10" t="str">
        <f>T3_SKU!E112</f>
        <v>NOS</v>
      </c>
      <c r="M112" s="10" t="str">
        <f>T3_SKU!F112</f>
        <v>39233090</v>
      </c>
    </row>
    <row r="113" ht="15.0" customHeight="1">
      <c r="A113" s="10" t="str">
        <f>T3_SKU!A113</f>
        <v>FOTD-35-BLU-18KG</v>
      </c>
      <c r="B113" s="10" t="str">
        <f>T3_SKU!B113</f>
        <v>FOTD-35</v>
      </c>
      <c r="C113" s="10" t="str">
        <f t="array" ref="C113">IFERROR(INDEX(T2_GroupSKU!$B:$B,MATCH(B113,T2_GroupSKU!$A:$A,0)),"")</f>
        <v>FOT (Full Open Top) Drum - 35.0 LTR</v>
      </c>
      <c r="D113" s="10" t="str">
        <f t="array" ref="D113">IFERROR(INDEX(T1_ProductType!$B:$B,MATCH(INDEX(T2_GroupSKU!$C:$C,MATCH(B113,T2_GroupSKU!$A:$A,0)),T1_ProductType!$A:$A,0)),"")</f>
        <v>FOT (Full Open Top) Drum</v>
      </c>
      <c r="E113" s="10" t="str">
        <f t="array" ref="E113">IFERROR(INDEX(T1_ProductType!$C:$C,MATCH(INDEX(T2_GroupSKU!$C:$C,MATCH(B113,T2_GroupSKU!$A:$A,0)),T1_ProductType!$A:$A,0)),"")</f>
        <v>Drum</v>
      </c>
      <c r="F113" s="10" t="str">
        <f t="array" ref="F113">IFERROR(INDEX(T1_ProductType!$D:$D,MATCH(INDEX(T2_GroupSKU!$C:$C,MATCH(B113,T2_GroupSKU!$A:$A,0)),T1_ProductType!$A:$A,0)),"")</f>
        <v>Plastic Barrels</v>
      </c>
      <c r="G113" s="10" t="str">
        <f t="array" ref="G113">IFERROR(IF(INDEX(T1_ProductType!$E:$E,MATCH(INDEX(T2_GroupSKU!$C:$C,MATCH(B113,T2_GroupSKU!$A:$A,0)),T1_ProductType!$A:$A,0))="","-",INDEX(T1_ProductType!$E:$E,MATCH(INDEX(T2_GroupSKU!$C:$C,MATCH(B113,T2_GroupSKU!$A:$A,0)),T1_ProductType!$A:$A,0))),"-")</f>
        <v>Fully Open Top Drum</v>
      </c>
      <c r="H113" s="10">
        <f t="array" ref="H113">IFERROR(IF(INDEX(T2_GroupSKU!$D:$D,MATCH(B113,T2_GroupSKU!$A:$A,0))="","-",INDEX(T2_GroupSKU!$D:$D,MATCH(B113,T2_GroupSKU!$A:$A,0))),"-")</f>
        <v>35</v>
      </c>
      <c r="I113" s="10" t="str">
        <f t="array" ref="I113">IFERROR(IF(INDEX(T2_GroupSKU!$E:$E,MATCH(B113,T2_GroupSKU!$A:$A,0))="","-",INDEX(T2_GroupSKU!$E:$E,MATCH(B113,T2_GroupSKU!$A:$A,0))),"-")</f>
        <v>LTR</v>
      </c>
      <c r="J113" s="10" t="str">
        <f>T3_SKU!C113</f>
        <v>Blue / 1.8 KG</v>
      </c>
      <c r="K113" s="10" t="str">
        <f>T3_SKU!D113</f>
        <v>35 LTR BLUE FOT 1.8 KG</v>
      </c>
      <c r="L113" s="10" t="str">
        <f>T3_SKU!E113</f>
        <v>NOS</v>
      </c>
      <c r="M113" s="10" t="str">
        <f>T3_SKU!F113</f>
        <v>39233090</v>
      </c>
    </row>
    <row r="114" ht="15.0" customHeight="1">
      <c r="A114" s="10" t="str">
        <f>T3_SKU!A114</f>
        <v>FOTD-35-BLU-20KG</v>
      </c>
      <c r="B114" s="10" t="str">
        <f>T3_SKU!B114</f>
        <v>FOTD-35</v>
      </c>
      <c r="C114" s="10" t="str">
        <f t="array" ref="C114">IFERROR(INDEX(T2_GroupSKU!$B:$B,MATCH(B114,T2_GroupSKU!$A:$A,0)),"")</f>
        <v>FOT (Full Open Top) Drum - 35.0 LTR</v>
      </c>
      <c r="D114" s="10" t="str">
        <f t="array" ref="D114">IFERROR(INDEX(T1_ProductType!$B:$B,MATCH(INDEX(T2_GroupSKU!$C:$C,MATCH(B114,T2_GroupSKU!$A:$A,0)),T1_ProductType!$A:$A,0)),"")</f>
        <v>FOT (Full Open Top) Drum</v>
      </c>
      <c r="E114" s="10" t="str">
        <f t="array" ref="E114">IFERROR(INDEX(T1_ProductType!$C:$C,MATCH(INDEX(T2_GroupSKU!$C:$C,MATCH(B114,T2_GroupSKU!$A:$A,0)),T1_ProductType!$A:$A,0)),"")</f>
        <v>Drum</v>
      </c>
      <c r="F114" s="10" t="str">
        <f t="array" ref="F114">IFERROR(INDEX(T1_ProductType!$D:$D,MATCH(INDEX(T2_GroupSKU!$C:$C,MATCH(B114,T2_GroupSKU!$A:$A,0)),T1_ProductType!$A:$A,0)),"")</f>
        <v>Plastic Barrels</v>
      </c>
      <c r="G114" s="10" t="str">
        <f t="array" ref="G114">IFERROR(IF(INDEX(T1_ProductType!$E:$E,MATCH(INDEX(T2_GroupSKU!$C:$C,MATCH(B114,T2_GroupSKU!$A:$A,0)),T1_ProductType!$A:$A,0))="","-",INDEX(T1_ProductType!$E:$E,MATCH(INDEX(T2_GroupSKU!$C:$C,MATCH(B114,T2_GroupSKU!$A:$A,0)),T1_ProductType!$A:$A,0))),"-")</f>
        <v>Fully Open Top Drum</v>
      </c>
      <c r="H114" s="10">
        <f t="array" ref="H114">IFERROR(IF(INDEX(T2_GroupSKU!$D:$D,MATCH(B114,T2_GroupSKU!$A:$A,0))="","-",INDEX(T2_GroupSKU!$D:$D,MATCH(B114,T2_GroupSKU!$A:$A,0))),"-")</f>
        <v>35</v>
      </c>
      <c r="I114" s="10" t="str">
        <f t="array" ref="I114">IFERROR(IF(INDEX(T2_GroupSKU!$E:$E,MATCH(B114,T2_GroupSKU!$A:$A,0))="","-",INDEX(T2_GroupSKU!$E:$E,MATCH(B114,T2_GroupSKU!$A:$A,0))),"-")</f>
        <v>LTR</v>
      </c>
      <c r="J114" s="10" t="str">
        <f>T3_SKU!C114</f>
        <v>Blue / 2.0 KG</v>
      </c>
      <c r="K114" s="10" t="str">
        <f>T3_SKU!D114</f>
        <v>35 LTR BLUE FOT 2.0 KG</v>
      </c>
      <c r="L114" s="10" t="str">
        <f>T3_SKU!E114</f>
        <v>NOS</v>
      </c>
      <c r="M114" s="10" t="str">
        <f>T3_SKU!F114</f>
        <v>39233090</v>
      </c>
    </row>
    <row r="115" ht="15.0" customHeight="1">
      <c r="A115" s="10" t="str">
        <f>T3_SKU!A115</f>
        <v>FOTD-35-BLU-25KG</v>
      </c>
      <c r="B115" s="10" t="str">
        <f>T3_SKU!B115</f>
        <v>FOTD-35</v>
      </c>
      <c r="C115" s="10" t="str">
        <f t="array" ref="C115">IFERROR(INDEX(T2_GroupSKU!$B:$B,MATCH(B115,T2_GroupSKU!$A:$A,0)),"")</f>
        <v>FOT (Full Open Top) Drum - 35.0 LTR</v>
      </c>
      <c r="D115" s="10" t="str">
        <f t="array" ref="D115">IFERROR(INDEX(T1_ProductType!$B:$B,MATCH(INDEX(T2_GroupSKU!$C:$C,MATCH(B115,T2_GroupSKU!$A:$A,0)),T1_ProductType!$A:$A,0)),"")</f>
        <v>FOT (Full Open Top) Drum</v>
      </c>
      <c r="E115" s="10" t="str">
        <f t="array" ref="E115">IFERROR(INDEX(T1_ProductType!$C:$C,MATCH(INDEX(T2_GroupSKU!$C:$C,MATCH(B115,T2_GroupSKU!$A:$A,0)),T1_ProductType!$A:$A,0)),"")</f>
        <v>Drum</v>
      </c>
      <c r="F115" s="10" t="str">
        <f t="array" ref="F115">IFERROR(INDEX(T1_ProductType!$D:$D,MATCH(INDEX(T2_GroupSKU!$C:$C,MATCH(B115,T2_GroupSKU!$A:$A,0)),T1_ProductType!$A:$A,0)),"")</f>
        <v>Plastic Barrels</v>
      </c>
      <c r="G115" s="10" t="str">
        <f t="array" ref="G115">IFERROR(IF(INDEX(T1_ProductType!$E:$E,MATCH(INDEX(T2_GroupSKU!$C:$C,MATCH(B115,T2_GroupSKU!$A:$A,0)),T1_ProductType!$A:$A,0))="","-",INDEX(T1_ProductType!$E:$E,MATCH(INDEX(T2_GroupSKU!$C:$C,MATCH(B115,T2_GroupSKU!$A:$A,0)),T1_ProductType!$A:$A,0))),"-")</f>
        <v>Fully Open Top Drum</v>
      </c>
      <c r="H115" s="10">
        <f t="array" ref="H115">IFERROR(IF(INDEX(T2_GroupSKU!$D:$D,MATCH(B115,T2_GroupSKU!$A:$A,0))="","-",INDEX(T2_GroupSKU!$D:$D,MATCH(B115,T2_GroupSKU!$A:$A,0))),"-")</f>
        <v>35</v>
      </c>
      <c r="I115" s="10" t="str">
        <f t="array" ref="I115">IFERROR(IF(INDEX(T2_GroupSKU!$E:$E,MATCH(B115,T2_GroupSKU!$A:$A,0))="","-",INDEX(T2_GroupSKU!$E:$E,MATCH(B115,T2_GroupSKU!$A:$A,0))),"-")</f>
        <v>LTR</v>
      </c>
      <c r="J115" s="10" t="str">
        <f>T3_SKU!C115</f>
        <v>Blue / 2.5 KG</v>
      </c>
      <c r="K115" s="10" t="str">
        <f>T3_SKU!D115</f>
        <v>35 LTR BLUE FOT 2.5 KG</v>
      </c>
      <c r="L115" s="10" t="str">
        <f>T3_SKU!E115</f>
        <v>NOS</v>
      </c>
      <c r="M115" s="10" t="str">
        <f>T3_SKU!F115</f>
        <v>39235010</v>
      </c>
    </row>
    <row r="116" ht="15.0" customHeight="1">
      <c r="A116" s="10" t="str">
        <f>T3_SKU!A116</f>
        <v>FOTD-50-BLU-186KG</v>
      </c>
      <c r="B116" s="10" t="str">
        <f>T3_SKU!B116</f>
        <v>FOTD-50</v>
      </c>
      <c r="C116" s="10" t="str">
        <f t="array" ref="C116">IFERROR(INDEX(T2_GroupSKU!$B:$B,MATCH(B116,T2_GroupSKU!$A:$A,0)),"")</f>
        <v>FOT (Full Open Top) Drum - 50.0 LTR</v>
      </c>
      <c r="D116" s="10" t="str">
        <f t="array" ref="D116">IFERROR(INDEX(T1_ProductType!$B:$B,MATCH(INDEX(T2_GroupSKU!$C:$C,MATCH(B116,T2_GroupSKU!$A:$A,0)),T1_ProductType!$A:$A,0)),"")</f>
        <v>FOT (Full Open Top) Drum</v>
      </c>
      <c r="E116" s="10" t="str">
        <f t="array" ref="E116">IFERROR(INDEX(T1_ProductType!$C:$C,MATCH(INDEX(T2_GroupSKU!$C:$C,MATCH(B116,T2_GroupSKU!$A:$A,0)),T1_ProductType!$A:$A,0)),"")</f>
        <v>Drum</v>
      </c>
      <c r="F116" s="10" t="str">
        <f t="array" ref="F116">IFERROR(INDEX(T1_ProductType!$D:$D,MATCH(INDEX(T2_GroupSKU!$C:$C,MATCH(B116,T2_GroupSKU!$A:$A,0)),T1_ProductType!$A:$A,0)),"")</f>
        <v>Plastic Barrels</v>
      </c>
      <c r="G116" s="10" t="str">
        <f t="array" ref="G116">IFERROR(IF(INDEX(T1_ProductType!$E:$E,MATCH(INDEX(T2_GroupSKU!$C:$C,MATCH(B116,T2_GroupSKU!$A:$A,0)),T1_ProductType!$A:$A,0))="","-",INDEX(T1_ProductType!$E:$E,MATCH(INDEX(T2_GroupSKU!$C:$C,MATCH(B116,T2_GroupSKU!$A:$A,0)),T1_ProductType!$A:$A,0))),"-")</f>
        <v>Fully Open Top Drum</v>
      </c>
      <c r="H116" s="10">
        <f t="array" ref="H116">IFERROR(IF(INDEX(T2_GroupSKU!$D:$D,MATCH(B116,T2_GroupSKU!$A:$A,0))="","-",INDEX(T2_GroupSKU!$D:$D,MATCH(B116,T2_GroupSKU!$A:$A,0))),"-")</f>
        <v>50</v>
      </c>
      <c r="I116" s="10" t="str">
        <f t="array" ref="I116">IFERROR(IF(INDEX(T2_GroupSKU!$E:$E,MATCH(B116,T2_GroupSKU!$A:$A,0))="","-",INDEX(T2_GroupSKU!$E:$E,MATCH(B116,T2_GroupSKU!$A:$A,0))),"-")</f>
        <v>LTR</v>
      </c>
      <c r="J116" s="10" t="str">
        <f>T3_SKU!C116</f>
        <v>Blue / 1.86 KG</v>
      </c>
      <c r="K116" s="10" t="str">
        <f>T3_SKU!D116</f>
        <v>50 LTR BLUE FOT 1.86 KG</v>
      </c>
      <c r="L116" s="10" t="str">
        <f>T3_SKU!E116</f>
        <v>NOS</v>
      </c>
      <c r="M116" s="10" t="str">
        <f>T3_SKU!F116</f>
        <v>39233090</v>
      </c>
    </row>
    <row r="117" ht="15.0" customHeight="1">
      <c r="A117" s="10" t="str">
        <f>T3_SKU!A117</f>
        <v>FOTD-50-BLU-196KG</v>
      </c>
      <c r="B117" s="10" t="str">
        <f>T3_SKU!B117</f>
        <v>FOTD-50</v>
      </c>
      <c r="C117" s="10" t="str">
        <f t="array" ref="C117">IFERROR(INDEX(T2_GroupSKU!$B:$B,MATCH(B117,T2_GroupSKU!$A:$A,0)),"")</f>
        <v>FOT (Full Open Top) Drum - 50.0 LTR</v>
      </c>
      <c r="D117" s="10" t="str">
        <f t="array" ref="D117">IFERROR(INDEX(T1_ProductType!$B:$B,MATCH(INDEX(T2_GroupSKU!$C:$C,MATCH(B117,T2_GroupSKU!$A:$A,0)),T1_ProductType!$A:$A,0)),"")</f>
        <v>FOT (Full Open Top) Drum</v>
      </c>
      <c r="E117" s="10" t="str">
        <f t="array" ref="E117">IFERROR(INDEX(T1_ProductType!$C:$C,MATCH(INDEX(T2_GroupSKU!$C:$C,MATCH(B117,T2_GroupSKU!$A:$A,0)),T1_ProductType!$A:$A,0)),"")</f>
        <v>Drum</v>
      </c>
      <c r="F117" s="10" t="str">
        <f t="array" ref="F117">IFERROR(INDEX(T1_ProductType!$D:$D,MATCH(INDEX(T2_GroupSKU!$C:$C,MATCH(B117,T2_GroupSKU!$A:$A,0)),T1_ProductType!$A:$A,0)),"")</f>
        <v>Plastic Barrels</v>
      </c>
      <c r="G117" s="10" t="str">
        <f t="array" ref="G117">IFERROR(IF(INDEX(T1_ProductType!$E:$E,MATCH(INDEX(T2_GroupSKU!$C:$C,MATCH(B117,T2_GroupSKU!$A:$A,0)),T1_ProductType!$A:$A,0))="","-",INDEX(T1_ProductType!$E:$E,MATCH(INDEX(T2_GroupSKU!$C:$C,MATCH(B117,T2_GroupSKU!$A:$A,0)),T1_ProductType!$A:$A,0))),"-")</f>
        <v>Fully Open Top Drum</v>
      </c>
      <c r="H117" s="10">
        <f t="array" ref="H117">IFERROR(IF(INDEX(T2_GroupSKU!$D:$D,MATCH(B117,T2_GroupSKU!$A:$A,0))="","-",INDEX(T2_GroupSKU!$D:$D,MATCH(B117,T2_GroupSKU!$A:$A,0))),"-")</f>
        <v>50</v>
      </c>
      <c r="I117" s="10" t="str">
        <f t="array" ref="I117">IFERROR(IF(INDEX(T2_GroupSKU!$E:$E,MATCH(B117,T2_GroupSKU!$A:$A,0))="","-",INDEX(T2_GroupSKU!$E:$E,MATCH(B117,T2_GroupSKU!$A:$A,0))),"-")</f>
        <v>LTR</v>
      </c>
      <c r="J117" s="10" t="str">
        <f>T3_SKU!C117</f>
        <v>Blue / 1.96 KG</v>
      </c>
      <c r="K117" s="10" t="str">
        <f>T3_SKU!D117</f>
        <v>50 LTR BLUE FOT 1.96 KG</v>
      </c>
      <c r="L117" s="10" t="str">
        <f>T3_SKU!E117</f>
        <v>NOS</v>
      </c>
      <c r="M117" s="10" t="str">
        <f>T3_SKU!F117</f>
        <v>39233090</v>
      </c>
    </row>
    <row r="118" ht="15.0" customHeight="1">
      <c r="A118" s="10" t="str">
        <f>T3_SKU!A118</f>
        <v>FOTD-50-BLU-216KG</v>
      </c>
      <c r="B118" s="10" t="str">
        <f>T3_SKU!B118</f>
        <v>FOTD-50</v>
      </c>
      <c r="C118" s="10" t="str">
        <f t="array" ref="C118">IFERROR(INDEX(T2_GroupSKU!$B:$B,MATCH(B118,T2_GroupSKU!$A:$A,0)),"")</f>
        <v>FOT (Full Open Top) Drum - 50.0 LTR</v>
      </c>
      <c r="D118" s="10" t="str">
        <f t="array" ref="D118">IFERROR(INDEX(T1_ProductType!$B:$B,MATCH(INDEX(T2_GroupSKU!$C:$C,MATCH(B118,T2_GroupSKU!$A:$A,0)),T1_ProductType!$A:$A,0)),"")</f>
        <v>FOT (Full Open Top) Drum</v>
      </c>
      <c r="E118" s="10" t="str">
        <f t="array" ref="E118">IFERROR(INDEX(T1_ProductType!$C:$C,MATCH(INDEX(T2_GroupSKU!$C:$C,MATCH(B118,T2_GroupSKU!$A:$A,0)),T1_ProductType!$A:$A,0)),"")</f>
        <v>Drum</v>
      </c>
      <c r="F118" s="10" t="str">
        <f t="array" ref="F118">IFERROR(INDEX(T1_ProductType!$D:$D,MATCH(INDEX(T2_GroupSKU!$C:$C,MATCH(B118,T2_GroupSKU!$A:$A,0)),T1_ProductType!$A:$A,0)),"")</f>
        <v>Plastic Barrels</v>
      </c>
      <c r="G118" s="10" t="str">
        <f t="array" ref="G118">IFERROR(IF(INDEX(T1_ProductType!$E:$E,MATCH(INDEX(T2_GroupSKU!$C:$C,MATCH(B118,T2_GroupSKU!$A:$A,0)),T1_ProductType!$A:$A,0))="","-",INDEX(T1_ProductType!$E:$E,MATCH(INDEX(T2_GroupSKU!$C:$C,MATCH(B118,T2_GroupSKU!$A:$A,0)),T1_ProductType!$A:$A,0))),"-")</f>
        <v>Fully Open Top Drum</v>
      </c>
      <c r="H118" s="10">
        <f t="array" ref="H118">IFERROR(IF(INDEX(T2_GroupSKU!$D:$D,MATCH(B118,T2_GroupSKU!$A:$A,0))="","-",INDEX(T2_GroupSKU!$D:$D,MATCH(B118,T2_GroupSKU!$A:$A,0))),"-")</f>
        <v>50</v>
      </c>
      <c r="I118" s="10" t="str">
        <f t="array" ref="I118">IFERROR(IF(INDEX(T2_GroupSKU!$E:$E,MATCH(B118,T2_GroupSKU!$A:$A,0))="","-",INDEX(T2_GroupSKU!$E:$E,MATCH(B118,T2_GroupSKU!$A:$A,0))),"-")</f>
        <v>LTR</v>
      </c>
      <c r="J118" s="10" t="str">
        <f>T3_SKU!C118</f>
        <v>Blue / 2.16 KG</v>
      </c>
      <c r="K118" s="10" t="str">
        <f>T3_SKU!D118</f>
        <v>50 LTR BLUE FOT 2.16 KG</v>
      </c>
      <c r="L118" s="10" t="str">
        <f>T3_SKU!E118</f>
        <v>NOS</v>
      </c>
      <c r="M118" s="10" t="str">
        <f>T3_SKU!F118</f>
        <v>39233090</v>
      </c>
    </row>
    <row r="119" ht="15.0" customHeight="1">
      <c r="A119" s="10" t="str">
        <f>T3_SKU!A119</f>
        <v>FOTD-50-BLU-24KG</v>
      </c>
      <c r="B119" s="10" t="str">
        <f>T3_SKU!B119</f>
        <v>FOTD-50</v>
      </c>
      <c r="C119" s="10" t="str">
        <f t="array" ref="C119">IFERROR(INDEX(T2_GroupSKU!$B:$B,MATCH(B119,T2_GroupSKU!$A:$A,0)),"")</f>
        <v>FOT (Full Open Top) Drum - 50.0 LTR</v>
      </c>
      <c r="D119" s="10" t="str">
        <f t="array" ref="D119">IFERROR(INDEX(T1_ProductType!$B:$B,MATCH(INDEX(T2_GroupSKU!$C:$C,MATCH(B119,T2_GroupSKU!$A:$A,0)),T1_ProductType!$A:$A,0)),"")</f>
        <v>FOT (Full Open Top) Drum</v>
      </c>
      <c r="E119" s="10" t="str">
        <f t="array" ref="E119">IFERROR(INDEX(T1_ProductType!$C:$C,MATCH(INDEX(T2_GroupSKU!$C:$C,MATCH(B119,T2_GroupSKU!$A:$A,0)),T1_ProductType!$A:$A,0)),"")</f>
        <v>Drum</v>
      </c>
      <c r="F119" s="10" t="str">
        <f t="array" ref="F119">IFERROR(INDEX(T1_ProductType!$D:$D,MATCH(INDEX(T2_GroupSKU!$C:$C,MATCH(B119,T2_GroupSKU!$A:$A,0)),T1_ProductType!$A:$A,0)),"")</f>
        <v>Plastic Barrels</v>
      </c>
      <c r="G119" s="10" t="str">
        <f t="array" ref="G119">IFERROR(IF(INDEX(T1_ProductType!$E:$E,MATCH(INDEX(T2_GroupSKU!$C:$C,MATCH(B119,T2_GroupSKU!$A:$A,0)),T1_ProductType!$A:$A,0))="","-",INDEX(T1_ProductType!$E:$E,MATCH(INDEX(T2_GroupSKU!$C:$C,MATCH(B119,T2_GroupSKU!$A:$A,0)),T1_ProductType!$A:$A,0))),"-")</f>
        <v>Fully Open Top Drum</v>
      </c>
      <c r="H119" s="10">
        <f t="array" ref="H119">IFERROR(IF(INDEX(T2_GroupSKU!$D:$D,MATCH(B119,T2_GroupSKU!$A:$A,0))="","-",INDEX(T2_GroupSKU!$D:$D,MATCH(B119,T2_GroupSKU!$A:$A,0))),"-")</f>
        <v>50</v>
      </c>
      <c r="I119" s="10" t="str">
        <f t="array" ref="I119">IFERROR(IF(INDEX(T2_GroupSKU!$E:$E,MATCH(B119,T2_GroupSKU!$A:$A,0))="","-",INDEX(T2_GroupSKU!$E:$E,MATCH(B119,T2_GroupSKU!$A:$A,0))),"-")</f>
        <v>LTR</v>
      </c>
      <c r="J119" s="10" t="str">
        <f>T3_SKU!C119</f>
        <v>Blue / 2.4 KG</v>
      </c>
      <c r="K119" s="10" t="str">
        <f>T3_SKU!D119</f>
        <v>50 LTR BLUE FOT 2.4 KG</v>
      </c>
      <c r="L119" s="10" t="str">
        <f>T3_SKU!E119</f>
        <v>NOS</v>
      </c>
      <c r="M119" s="10" t="str">
        <f>T3_SKU!F119</f>
        <v>39233090</v>
      </c>
    </row>
    <row r="120" ht="15.0" customHeight="1">
      <c r="A120" s="10" t="str">
        <f>T3_SKU!A120</f>
        <v>FOTD-50-BLU-25KG</v>
      </c>
      <c r="B120" s="10" t="str">
        <f>T3_SKU!B120</f>
        <v>FOTD-50</v>
      </c>
      <c r="C120" s="10" t="str">
        <f t="array" ref="C120">IFERROR(INDEX(T2_GroupSKU!$B:$B,MATCH(B120,T2_GroupSKU!$A:$A,0)),"")</f>
        <v>FOT (Full Open Top) Drum - 50.0 LTR</v>
      </c>
      <c r="D120" s="10" t="str">
        <f t="array" ref="D120">IFERROR(INDEX(T1_ProductType!$B:$B,MATCH(INDEX(T2_GroupSKU!$C:$C,MATCH(B120,T2_GroupSKU!$A:$A,0)),T1_ProductType!$A:$A,0)),"")</f>
        <v>FOT (Full Open Top) Drum</v>
      </c>
      <c r="E120" s="10" t="str">
        <f t="array" ref="E120">IFERROR(INDEX(T1_ProductType!$C:$C,MATCH(INDEX(T2_GroupSKU!$C:$C,MATCH(B120,T2_GroupSKU!$A:$A,0)),T1_ProductType!$A:$A,0)),"")</f>
        <v>Drum</v>
      </c>
      <c r="F120" s="10" t="str">
        <f t="array" ref="F120">IFERROR(INDEX(T1_ProductType!$D:$D,MATCH(INDEX(T2_GroupSKU!$C:$C,MATCH(B120,T2_GroupSKU!$A:$A,0)),T1_ProductType!$A:$A,0)),"")</f>
        <v>Plastic Barrels</v>
      </c>
      <c r="G120" s="10" t="str">
        <f t="array" ref="G120">IFERROR(IF(INDEX(T1_ProductType!$E:$E,MATCH(INDEX(T2_GroupSKU!$C:$C,MATCH(B120,T2_GroupSKU!$A:$A,0)),T1_ProductType!$A:$A,0))="","-",INDEX(T1_ProductType!$E:$E,MATCH(INDEX(T2_GroupSKU!$C:$C,MATCH(B120,T2_GroupSKU!$A:$A,0)),T1_ProductType!$A:$A,0))),"-")</f>
        <v>Fully Open Top Drum</v>
      </c>
      <c r="H120" s="10">
        <f t="array" ref="H120">IFERROR(IF(INDEX(T2_GroupSKU!$D:$D,MATCH(B120,T2_GroupSKU!$A:$A,0))="","-",INDEX(T2_GroupSKU!$D:$D,MATCH(B120,T2_GroupSKU!$A:$A,0))),"-")</f>
        <v>50</v>
      </c>
      <c r="I120" s="10" t="str">
        <f t="array" ref="I120">IFERROR(IF(INDEX(T2_GroupSKU!$E:$E,MATCH(B120,T2_GroupSKU!$A:$A,0))="","-",INDEX(T2_GroupSKU!$E:$E,MATCH(B120,T2_GroupSKU!$A:$A,0))),"-")</f>
        <v>LTR</v>
      </c>
      <c r="J120" s="10" t="str">
        <f>T3_SKU!C120</f>
        <v>Blue / 2.5 KG</v>
      </c>
      <c r="K120" s="10" t="str">
        <f>T3_SKU!D120</f>
        <v>50 LTR BLUE FOT 2.5 KG</v>
      </c>
      <c r="L120" s="10" t="str">
        <f>T3_SKU!E120</f>
        <v>NOS</v>
      </c>
      <c r="M120" s="10" t="str">
        <f>T3_SKU!F120</f>
        <v>39233090</v>
      </c>
    </row>
    <row r="121" ht="15.0" customHeight="1">
      <c r="A121" s="10" t="str">
        <f>T3_SKU!A121</f>
        <v>FOTD-50-BLU-26KG</v>
      </c>
      <c r="B121" s="10" t="str">
        <f>T3_SKU!B121</f>
        <v>FOTD-50</v>
      </c>
      <c r="C121" s="10" t="str">
        <f t="array" ref="C121">IFERROR(INDEX(T2_GroupSKU!$B:$B,MATCH(B121,T2_GroupSKU!$A:$A,0)),"")</f>
        <v>FOT (Full Open Top) Drum - 50.0 LTR</v>
      </c>
      <c r="D121" s="10" t="str">
        <f t="array" ref="D121">IFERROR(INDEX(T1_ProductType!$B:$B,MATCH(INDEX(T2_GroupSKU!$C:$C,MATCH(B121,T2_GroupSKU!$A:$A,0)),T1_ProductType!$A:$A,0)),"")</f>
        <v>FOT (Full Open Top) Drum</v>
      </c>
      <c r="E121" s="10" t="str">
        <f t="array" ref="E121">IFERROR(INDEX(T1_ProductType!$C:$C,MATCH(INDEX(T2_GroupSKU!$C:$C,MATCH(B121,T2_GroupSKU!$A:$A,0)),T1_ProductType!$A:$A,0)),"")</f>
        <v>Drum</v>
      </c>
      <c r="F121" s="10" t="str">
        <f t="array" ref="F121">IFERROR(INDEX(T1_ProductType!$D:$D,MATCH(INDEX(T2_GroupSKU!$C:$C,MATCH(B121,T2_GroupSKU!$A:$A,0)),T1_ProductType!$A:$A,0)),"")</f>
        <v>Plastic Barrels</v>
      </c>
      <c r="G121" s="10" t="str">
        <f t="array" ref="G121">IFERROR(IF(INDEX(T1_ProductType!$E:$E,MATCH(INDEX(T2_GroupSKU!$C:$C,MATCH(B121,T2_GroupSKU!$A:$A,0)),T1_ProductType!$A:$A,0))="","-",INDEX(T1_ProductType!$E:$E,MATCH(INDEX(T2_GroupSKU!$C:$C,MATCH(B121,T2_GroupSKU!$A:$A,0)),T1_ProductType!$A:$A,0))),"-")</f>
        <v>Fully Open Top Drum</v>
      </c>
      <c r="H121" s="10">
        <f t="array" ref="H121">IFERROR(IF(INDEX(T2_GroupSKU!$D:$D,MATCH(B121,T2_GroupSKU!$A:$A,0))="","-",INDEX(T2_GroupSKU!$D:$D,MATCH(B121,T2_GroupSKU!$A:$A,0))),"-")</f>
        <v>50</v>
      </c>
      <c r="I121" s="10" t="str">
        <f t="array" ref="I121">IFERROR(IF(INDEX(T2_GroupSKU!$E:$E,MATCH(B121,T2_GroupSKU!$A:$A,0))="","-",INDEX(T2_GroupSKU!$E:$E,MATCH(B121,T2_GroupSKU!$A:$A,0))),"-")</f>
        <v>LTR</v>
      </c>
      <c r="J121" s="10" t="str">
        <f>T3_SKU!C121</f>
        <v>Blue / 2.6 KG</v>
      </c>
      <c r="K121" s="10" t="str">
        <f>T3_SKU!D121</f>
        <v>50 LTR BLUE FOT 2.6 KG</v>
      </c>
      <c r="L121" s="10" t="str">
        <f>T3_SKU!E121</f>
        <v>NOS</v>
      </c>
      <c r="M121" s="10" t="str">
        <f>T3_SKU!F121</f>
        <v>39233090</v>
      </c>
    </row>
    <row r="122" ht="15.0" customHeight="1">
      <c r="A122" s="10" t="str">
        <f>T3_SKU!A122</f>
        <v>FOTD-50-BLU-28KG</v>
      </c>
      <c r="B122" s="10" t="str">
        <f>T3_SKU!B122</f>
        <v>FOTD-50</v>
      </c>
      <c r="C122" s="10" t="str">
        <f t="array" ref="C122">IFERROR(INDEX(T2_GroupSKU!$B:$B,MATCH(B122,T2_GroupSKU!$A:$A,0)),"")</f>
        <v>FOT (Full Open Top) Drum - 50.0 LTR</v>
      </c>
      <c r="D122" s="10" t="str">
        <f t="array" ref="D122">IFERROR(INDEX(T1_ProductType!$B:$B,MATCH(INDEX(T2_GroupSKU!$C:$C,MATCH(B122,T2_GroupSKU!$A:$A,0)),T1_ProductType!$A:$A,0)),"")</f>
        <v>FOT (Full Open Top) Drum</v>
      </c>
      <c r="E122" s="10" t="str">
        <f t="array" ref="E122">IFERROR(INDEX(T1_ProductType!$C:$C,MATCH(INDEX(T2_GroupSKU!$C:$C,MATCH(B122,T2_GroupSKU!$A:$A,0)),T1_ProductType!$A:$A,0)),"")</f>
        <v>Drum</v>
      </c>
      <c r="F122" s="10" t="str">
        <f t="array" ref="F122">IFERROR(INDEX(T1_ProductType!$D:$D,MATCH(INDEX(T2_GroupSKU!$C:$C,MATCH(B122,T2_GroupSKU!$A:$A,0)),T1_ProductType!$A:$A,0)),"")</f>
        <v>Plastic Barrels</v>
      </c>
      <c r="G122" s="10" t="str">
        <f t="array" ref="G122">IFERROR(IF(INDEX(T1_ProductType!$E:$E,MATCH(INDEX(T2_GroupSKU!$C:$C,MATCH(B122,T2_GroupSKU!$A:$A,0)),T1_ProductType!$A:$A,0))="","-",INDEX(T1_ProductType!$E:$E,MATCH(INDEX(T2_GroupSKU!$C:$C,MATCH(B122,T2_GroupSKU!$A:$A,0)),T1_ProductType!$A:$A,0))),"-")</f>
        <v>Fully Open Top Drum</v>
      </c>
      <c r="H122" s="10">
        <f t="array" ref="H122">IFERROR(IF(INDEX(T2_GroupSKU!$D:$D,MATCH(B122,T2_GroupSKU!$A:$A,0))="","-",INDEX(T2_GroupSKU!$D:$D,MATCH(B122,T2_GroupSKU!$A:$A,0))),"-")</f>
        <v>50</v>
      </c>
      <c r="I122" s="10" t="str">
        <f t="array" ref="I122">IFERROR(IF(INDEX(T2_GroupSKU!$E:$E,MATCH(B122,T2_GroupSKU!$A:$A,0))="","-",INDEX(T2_GroupSKU!$E:$E,MATCH(B122,T2_GroupSKU!$A:$A,0))),"-")</f>
        <v>LTR</v>
      </c>
      <c r="J122" s="10" t="str">
        <f>T3_SKU!C122</f>
        <v>Blue / 2.8 KG</v>
      </c>
      <c r="K122" s="10" t="str">
        <f>T3_SKU!D122</f>
        <v>50 LTR BLUE FOT 2.8 KG</v>
      </c>
      <c r="L122" s="10" t="str">
        <f>T3_SKU!E122</f>
        <v>NOS</v>
      </c>
      <c r="M122" s="10" t="str">
        <f>T3_SKU!F122</f>
        <v>39233090</v>
      </c>
    </row>
    <row r="123" ht="15.0" customHeight="1">
      <c r="A123" s="10" t="str">
        <f>T3_SKU!A123</f>
        <v>FOTD-50-BLU-30KG</v>
      </c>
      <c r="B123" s="10" t="str">
        <f>T3_SKU!B123</f>
        <v>FOTD-50</v>
      </c>
      <c r="C123" s="10" t="str">
        <f t="array" ref="C123">IFERROR(INDEX(T2_GroupSKU!$B:$B,MATCH(B123,T2_GroupSKU!$A:$A,0)),"")</f>
        <v>FOT (Full Open Top) Drum - 50.0 LTR</v>
      </c>
      <c r="D123" s="10" t="str">
        <f t="array" ref="D123">IFERROR(INDEX(T1_ProductType!$B:$B,MATCH(INDEX(T2_GroupSKU!$C:$C,MATCH(B123,T2_GroupSKU!$A:$A,0)),T1_ProductType!$A:$A,0)),"")</f>
        <v>FOT (Full Open Top) Drum</v>
      </c>
      <c r="E123" s="10" t="str">
        <f t="array" ref="E123">IFERROR(INDEX(T1_ProductType!$C:$C,MATCH(INDEX(T2_GroupSKU!$C:$C,MATCH(B123,T2_GroupSKU!$A:$A,0)),T1_ProductType!$A:$A,0)),"")</f>
        <v>Drum</v>
      </c>
      <c r="F123" s="10" t="str">
        <f t="array" ref="F123">IFERROR(INDEX(T1_ProductType!$D:$D,MATCH(INDEX(T2_GroupSKU!$C:$C,MATCH(B123,T2_GroupSKU!$A:$A,0)),T1_ProductType!$A:$A,0)),"")</f>
        <v>Plastic Barrels</v>
      </c>
      <c r="G123" s="10" t="str">
        <f t="array" ref="G123">IFERROR(IF(INDEX(T1_ProductType!$E:$E,MATCH(INDEX(T2_GroupSKU!$C:$C,MATCH(B123,T2_GroupSKU!$A:$A,0)),T1_ProductType!$A:$A,0))="","-",INDEX(T1_ProductType!$E:$E,MATCH(INDEX(T2_GroupSKU!$C:$C,MATCH(B123,T2_GroupSKU!$A:$A,0)),T1_ProductType!$A:$A,0))),"-")</f>
        <v>Fully Open Top Drum</v>
      </c>
      <c r="H123" s="10">
        <f t="array" ref="H123">IFERROR(IF(INDEX(T2_GroupSKU!$D:$D,MATCH(B123,T2_GroupSKU!$A:$A,0))="","-",INDEX(T2_GroupSKU!$D:$D,MATCH(B123,T2_GroupSKU!$A:$A,0))),"-")</f>
        <v>50</v>
      </c>
      <c r="I123" s="10" t="str">
        <f t="array" ref="I123">IFERROR(IF(INDEX(T2_GroupSKU!$E:$E,MATCH(B123,T2_GroupSKU!$A:$A,0))="","-",INDEX(T2_GroupSKU!$E:$E,MATCH(B123,T2_GroupSKU!$A:$A,0))),"-")</f>
        <v>LTR</v>
      </c>
      <c r="J123" s="10" t="str">
        <f>T3_SKU!C123</f>
        <v>Blue / 3.0 KG</v>
      </c>
      <c r="K123" s="10" t="str">
        <f>T3_SKU!D123</f>
        <v>50 LTR BLUE FOT 3.0 KG</v>
      </c>
      <c r="L123" s="10" t="str">
        <f>T3_SKU!E123</f>
        <v>NOS</v>
      </c>
      <c r="M123" s="10" t="str">
        <f>T3_SKU!F123</f>
        <v>39233090</v>
      </c>
    </row>
    <row r="124" ht="15.0" customHeight="1">
      <c r="A124" s="10" t="str">
        <f>T3_SKU!A124</f>
        <v>FOTD-50-GRN-216KG</v>
      </c>
      <c r="B124" s="10" t="str">
        <f>T3_SKU!B124</f>
        <v>FOTD-50</v>
      </c>
      <c r="C124" s="10" t="str">
        <f t="array" ref="C124">IFERROR(INDEX(T2_GroupSKU!$B:$B,MATCH(B124,T2_GroupSKU!$A:$A,0)),"")</f>
        <v>FOT (Full Open Top) Drum - 50.0 LTR</v>
      </c>
      <c r="D124" s="10" t="str">
        <f t="array" ref="D124">IFERROR(INDEX(T1_ProductType!$B:$B,MATCH(INDEX(T2_GroupSKU!$C:$C,MATCH(B124,T2_GroupSKU!$A:$A,0)),T1_ProductType!$A:$A,0)),"")</f>
        <v>FOT (Full Open Top) Drum</v>
      </c>
      <c r="E124" s="10" t="str">
        <f t="array" ref="E124">IFERROR(INDEX(T1_ProductType!$C:$C,MATCH(INDEX(T2_GroupSKU!$C:$C,MATCH(B124,T2_GroupSKU!$A:$A,0)),T1_ProductType!$A:$A,0)),"")</f>
        <v>Drum</v>
      </c>
      <c r="F124" s="10" t="str">
        <f t="array" ref="F124">IFERROR(INDEX(T1_ProductType!$D:$D,MATCH(INDEX(T2_GroupSKU!$C:$C,MATCH(B124,T2_GroupSKU!$A:$A,0)),T1_ProductType!$A:$A,0)),"")</f>
        <v>Plastic Barrels</v>
      </c>
      <c r="G124" s="10" t="str">
        <f t="array" ref="G124">IFERROR(IF(INDEX(T1_ProductType!$E:$E,MATCH(INDEX(T2_GroupSKU!$C:$C,MATCH(B124,T2_GroupSKU!$A:$A,0)),T1_ProductType!$A:$A,0))="","-",INDEX(T1_ProductType!$E:$E,MATCH(INDEX(T2_GroupSKU!$C:$C,MATCH(B124,T2_GroupSKU!$A:$A,0)),T1_ProductType!$A:$A,0))),"-")</f>
        <v>Fully Open Top Drum</v>
      </c>
      <c r="H124" s="10">
        <f t="array" ref="H124">IFERROR(IF(INDEX(T2_GroupSKU!$D:$D,MATCH(B124,T2_GroupSKU!$A:$A,0))="","-",INDEX(T2_GroupSKU!$D:$D,MATCH(B124,T2_GroupSKU!$A:$A,0))),"-")</f>
        <v>50</v>
      </c>
      <c r="I124" s="10" t="str">
        <f t="array" ref="I124">IFERROR(IF(INDEX(T2_GroupSKU!$E:$E,MATCH(B124,T2_GroupSKU!$A:$A,0))="","-",INDEX(T2_GroupSKU!$E:$E,MATCH(B124,T2_GroupSKU!$A:$A,0))),"-")</f>
        <v>LTR</v>
      </c>
      <c r="J124" s="10" t="str">
        <f>T3_SKU!C124</f>
        <v>Green / 2.16 KG</v>
      </c>
      <c r="K124" s="10" t="str">
        <f>T3_SKU!D124</f>
        <v>50 LTR GREEN FOT 2.16 KG</v>
      </c>
      <c r="L124" s="10" t="str">
        <f>T3_SKU!E124</f>
        <v>NOS</v>
      </c>
      <c r="M124" s="10" t="str">
        <f>T3_SKU!F124</f>
        <v>39233090</v>
      </c>
    </row>
    <row r="125" ht="15.0" customHeight="1">
      <c r="A125" s="10" t="str">
        <f>T3_SKU!A125</f>
        <v>FOTD-50-GRN-28KG</v>
      </c>
      <c r="B125" s="10" t="str">
        <f>T3_SKU!B125</f>
        <v>FOTD-50</v>
      </c>
      <c r="C125" s="10" t="str">
        <f t="array" ref="C125">IFERROR(INDEX(T2_GroupSKU!$B:$B,MATCH(B125,T2_GroupSKU!$A:$A,0)),"")</f>
        <v>FOT (Full Open Top) Drum - 50.0 LTR</v>
      </c>
      <c r="D125" s="10" t="str">
        <f t="array" ref="D125">IFERROR(INDEX(T1_ProductType!$B:$B,MATCH(INDEX(T2_GroupSKU!$C:$C,MATCH(B125,T2_GroupSKU!$A:$A,0)),T1_ProductType!$A:$A,0)),"")</f>
        <v>FOT (Full Open Top) Drum</v>
      </c>
      <c r="E125" s="10" t="str">
        <f t="array" ref="E125">IFERROR(INDEX(T1_ProductType!$C:$C,MATCH(INDEX(T2_GroupSKU!$C:$C,MATCH(B125,T2_GroupSKU!$A:$A,0)),T1_ProductType!$A:$A,0)),"")</f>
        <v>Drum</v>
      </c>
      <c r="F125" s="10" t="str">
        <f t="array" ref="F125">IFERROR(INDEX(T1_ProductType!$D:$D,MATCH(INDEX(T2_GroupSKU!$C:$C,MATCH(B125,T2_GroupSKU!$A:$A,0)),T1_ProductType!$A:$A,0)),"")</f>
        <v>Plastic Barrels</v>
      </c>
      <c r="G125" s="10" t="str">
        <f t="array" ref="G125">IFERROR(IF(INDEX(T1_ProductType!$E:$E,MATCH(INDEX(T2_GroupSKU!$C:$C,MATCH(B125,T2_GroupSKU!$A:$A,0)),T1_ProductType!$A:$A,0))="","-",INDEX(T1_ProductType!$E:$E,MATCH(INDEX(T2_GroupSKU!$C:$C,MATCH(B125,T2_GroupSKU!$A:$A,0)),T1_ProductType!$A:$A,0))),"-")</f>
        <v>Fully Open Top Drum</v>
      </c>
      <c r="H125" s="10">
        <f t="array" ref="H125">IFERROR(IF(INDEX(T2_GroupSKU!$D:$D,MATCH(B125,T2_GroupSKU!$A:$A,0))="","-",INDEX(T2_GroupSKU!$D:$D,MATCH(B125,T2_GroupSKU!$A:$A,0))),"-")</f>
        <v>50</v>
      </c>
      <c r="I125" s="10" t="str">
        <f t="array" ref="I125">IFERROR(IF(INDEX(T2_GroupSKU!$E:$E,MATCH(B125,T2_GroupSKU!$A:$A,0))="","-",INDEX(T2_GroupSKU!$E:$E,MATCH(B125,T2_GroupSKU!$A:$A,0))),"-")</f>
        <v>LTR</v>
      </c>
      <c r="J125" s="10" t="str">
        <f>T3_SKU!C125</f>
        <v>Green / 2.8 KG</v>
      </c>
      <c r="K125" s="10" t="str">
        <f>T3_SKU!D125</f>
        <v>50 LTR GREEN FOT 2.8 KG</v>
      </c>
      <c r="L125" s="10" t="str">
        <f>T3_SKU!E125</f>
        <v>nos</v>
      </c>
      <c r="M125" s="10" t="str">
        <f>T3_SKU!F125</f>
        <v>39233090</v>
      </c>
    </row>
    <row r="126" ht="15.0" customHeight="1">
      <c r="A126" s="10" t="str">
        <f>T3_SKU!A126</f>
        <v>FOTD-50-GRN-30KG</v>
      </c>
      <c r="B126" s="10" t="str">
        <f>T3_SKU!B126</f>
        <v>FOTD-50</v>
      </c>
      <c r="C126" s="10" t="str">
        <f t="array" ref="C126">IFERROR(INDEX(T2_GroupSKU!$B:$B,MATCH(B126,T2_GroupSKU!$A:$A,0)),"")</f>
        <v>FOT (Full Open Top) Drum - 50.0 LTR</v>
      </c>
      <c r="D126" s="10" t="str">
        <f t="array" ref="D126">IFERROR(INDEX(T1_ProductType!$B:$B,MATCH(INDEX(T2_GroupSKU!$C:$C,MATCH(B126,T2_GroupSKU!$A:$A,0)),T1_ProductType!$A:$A,0)),"")</f>
        <v>FOT (Full Open Top) Drum</v>
      </c>
      <c r="E126" s="10" t="str">
        <f t="array" ref="E126">IFERROR(INDEX(T1_ProductType!$C:$C,MATCH(INDEX(T2_GroupSKU!$C:$C,MATCH(B126,T2_GroupSKU!$A:$A,0)),T1_ProductType!$A:$A,0)),"")</f>
        <v>Drum</v>
      </c>
      <c r="F126" s="10" t="str">
        <f t="array" ref="F126">IFERROR(INDEX(T1_ProductType!$D:$D,MATCH(INDEX(T2_GroupSKU!$C:$C,MATCH(B126,T2_GroupSKU!$A:$A,0)),T1_ProductType!$A:$A,0)),"")</f>
        <v>Plastic Barrels</v>
      </c>
      <c r="G126" s="10" t="str">
        <f t="array" ref="G126">IFERROR(IF(INDEX(T1_ProductType!$E:$E,MATCH(INDEX(T2_GroupSKU!$C:$C,MATCH(B126,T2_GroupSKU!$A:$A,0)),T1_ProductType!$A:$A,0))="","-",INDEX(T1_ProductType!$E:$E,MATCH(INDEX(T2_GroupSKU!$C:$C,MATCH(B126,T2_GroupSKU!$A:$A,0)),T1_ProductType!$A:$A,0))),"-")</f>
        <v>Fully Open Top Drum</v>
      </c>
      <c r="H126" s="10">
        <f t="array" ref="H126">IFERROR(IF(INDEX(T2_GroupSKU!$D:$D,MATCH(B126,T2_GroupSKU!$A:$A,0))="","-",INDEX(T2_GroupSKU!$D:$D,MATCH(B126,T2_GroupSKU!$A:$A,0))),"-")</f>
        <v>50</v>
      </c>
      <c r="I126" s="10" t="str">
        <f t="array" ref="I126">IFERROR(IF(INDEX(T2_GroupSKU!$E:$E,MATCH(B126,T2_GroupSKU!$A:$A,0))="","-",INDEX(T2_GroupSKU!$E:$E,MATCH(B126,T2_GroupSKU!$A:$A,0))),"-")</f>
        <v>LTR</v>
      </c>
      <c r="J126" s="10" t="str">
        <f>T3_SKU!C126</f>
        <v>Green / 3.0 KG</v>
      </c>
      <c r="K126" s="10" t="str">
        <f>T3_SKU!D126</f>
        <v>50 LTR GREEN FOT 3.0 KG</v>
      </c>
      <c r="L126" s="10" t="str">
        <f>T3_SKU!E126</f>
        <v>NOS</v>
      </c>
      <c r="M126" s="10" t="str">
        <f>T3_SKU!F126</f>
        <v>39233090</v>
      </c>
    </row>
    <row r="127" ht="15.0" customHeight="1">
      <c r="A127" s="10" t="str">
        <f>T3_SKU!A127</f>
        <v>FOTD-50-ORG-184KG</v>
      </c>
      <c r="B127" s="10" t="str">
        <f>T3_SKU!B127</f>
        <v>FOTD-50</v>
      </c>
      <c r="C127" s="10" t="str">
        <f t="array" ref="C127">IFERROR(INDEX(T2_GroupSKU!$B:$B,MATCH(B127,T2_GroupSKU!$A:$A,0)),"")</f>
        <v>FOT (Full Open Top) Drum - 50.0 LTR</v>
      </c>
      <c r="D127" s="10" t="str">
        <f t="array" ref="D127">IFERROR(INDEX(T1_ProductType!$B:$B,MATCH(INDEX(T2_GroupSKU!$C:$C,MATCH(B127,T2_GroupSKU!$A:$A,0)),T1_ProductType!$A:$A,0)),"")</f>
        <v>FOT (Full Open Top) Drum</v>
      </c>
      <c r="E127" s="10" t="str">
        <f t="array" ref="E127">IFERROR(INDEX(T1_ProductType!$C:$C,MATCH(INDEX(T2_GroupSKU!$C:$C,MATCH(B127,T2_GroupSKU!$A:$A,0)),T1_ProductType!$A:$A,0)),"")</f>
        <v>Drum</v>
      </c>
      <c r="F127" s="10" t="str">
        <f t="array" ref="F127">IFERROR(INDEX(T1_ProductType!$D:$D,MATCH(INDEX(T2_GroupSKU!$C:$C,MATCH(B127,T2_GroupSKU!$A:$A,0)),T1_ProductType!$A:$A,0)),"")</f>
        <v>Plastic Barrels</v>
      </c>
      <c r="G127" s="10" t="str">
        <f t="array" ref="G127">IFERROR(IF(INDEX(T1_ProductType!$E:$E,MATCH(INDEX(T2_GroupSKU!$C:$C,MATCH(B127,T2_GroupSKU!$A:$A,0)),T1_ProductType!$A:$A,0))="","-",INDEX(T1_ProductType!$E:$E,MATCH(INDEX(T2_GroupSKU!$C:$C,MATCH(B127,T2_GroupSKU!$A:$A,0)),T1_ProductType!$A:$A,0))),"-")</f>
        <v>Fully Open Top Drum</v>
      </c>
      <c r="H127" s="10">
        <f t="array" ref="H127">IFERROR(IF(INDEX(T2_GroupSKU!$D:$D,MATCH(B127,T2_GroupSKU!$A:$A,0))="","-",INDEX(T2_GroupSKU!$D:$D,MATCH(B127,T2_GroupSKU!$A:$A,0))),"-")</f>
        <v>50</v>
      </c>
      <c r="I127" s="10" t="str">
        <f t="array" ref="I127">IFERROR(IF(INDEX(T2_GroupSKU!$E:$E,MATCH(B127,T2_GroupSKU!$A:$A,0))="","-",INDEX(T2_GroupSKU!$E:$E,MATCH(B127,T2_GroupSKU!$A:$A,0))),"-")</f>
        <v>LTR</v>
      </c>
      <c r="J127" s="10" t="str">
        <f>T3_SKU!C127</f>
        <v>Orange / 1.84 KG</v>
      </c>
      <c r="K127" s="10" t="str">
        <f>T3_SKU!D127</f>
        <v>50 LTR ORANGE FOT 1.84 KG</v>
      </c>
      <c r="L127" s="10" t="str">
        <f>T3_SKU!E127</f>
        <v>NOS</v>
      </c>
      <c r="M127" s="10" t="str">
        <f>T3_SKU!F127</f>
        <v>39233090</v>
      </c>
    </row>
    <row r="128" ht="15.0" customHeight="1">
      <c r="A128" s="10" t="str">
        <f>T3_SKU!A128</f>
        <v>FOTD-50-ORG-27KG</v>
      </c>
      <c r="B128" s="10" t="str">
        <f>T3_SKU!B128</f>
        <v>FOTD-50</v>
      </c>
      <c r="C128" s="10" t="str">
        <f t="array" ref="C128">IFERROR(INDEX(T2_GroupSKU!$B:$B,MATCH(B128,T2_GroupSKU!$A:$A,0)),"")</f>
        <v>FOT (Full Open Top) Drum - 50.0 LTR</v>
      </c>
      <c r="D128" s="10" t="str">
        <f t="array" ref="D128">IFERROR(INDEX(T1_ProductType!$B:$B,MATCH(INDEX(T2_GroupSKU!$C:$C,MATCH(B128,T2_GroupSKU!$A:$A,0)),T1_ProductType!$A:$A,0)),"")</f>
        <v>FOT (Full Open Top) Drum</v>
      </c>
      <c r="E128" s="10" t="str">
        <f t="array" ref="E128">IFERROR(INDEX(T1_ProductType!$C:$C,MATCH(INDEX(T2_GroupSKU!$C:$C,MATCH(B128,T2_GroupSKU!$A:$A,0)),T1_ProductType!$A:$A,0)),"")</f>
        <v>Drum</v>
      </c>
      <c r="F128" s="10" t="str">
        <f t="array" ref="F128">IFERROR(INDEX(T1_ProductType!$D:$D,MATCH(INDEX(T2_GroupSKU!$C:$C,MATCH(B128,T2_GroupSKU!$A:$A,0)),T1_ProductType!$A:$A,0)),"")</f>
        <v>Plastic Barrels</v>
      </c>
      <c r="G128" s="10" t="str">
        <f t="array" ref="G128">IFERROR(IF(INDEX(T1_ProductType!$E:$E,MATCH(INDEX(T2_GroupSKU!$C:$C,MATCH(B128,T2_GroupSKU!$A:$A,0)),T1_ProductType!$A:$A,0))="","-",INDEX(T1_ProductType!$E:$E,MATCH(INDEX(T2_GroupSKU!$C:$C,MATCH(B128,T2_GroupSKU!$A:$A,0)),T1_ProductType!$A:$A,0))),"-")</f>
        <v>Fully Open Top Drum</v>
      </c>
      <c r="H128" s="10">
        <f t="array" ref="H128">IFERROR(IF(INDEX(T2_GroupSKU!$D:$D,MATCH(B128,T2_GroupSKU!$A:$A,0))="","-",INDEX(T2_GroupSKU!$D:$D,MATCH(B128,T2_GroupSKU!$A:$A,0))),"-")</f>
        <v>50</v>
      </c>
      <c r="I128" s="10" t="str">
        <f t="array" ref="I128">IFERROR(IF(INDEX(T2_GroupSKU!$E:$E,MATCH(B128,T2_GroupSKU!$A:$A,0))="","-",INDEX(T2_GroupSKU!$E:$E,MATCH(B128,T2_GroupSKU!$A:$A,0))),"-")</f>
        <v>LTR</v>
      </c>
      <c r="J128" s="10" t="str">
        <f>T3_SKU!C128</f>
        <v>Orange / 2.7 KG</v>
      </c>
      <c r="K128" s="10" t="str">
        <f>T3_SKU!D128</f>
        <v>50 LTR ORANGE FOT 2.7 KG</v>
      </c>
      <c r="L128" s="10" t="str">
        <f>T3_SKU!E128</f>
        <v>NOS</v>
      </c>
      <c r="M128" s="10" t="str">
        <f>T3_SKU!F128</f>
        <v>39233090</v>
      </c>
    </row>
    <row r="129" ht="15.0" customHeight="1">
      <c r="A129" s="10" t="str">
        <f>T3_SKU!A129</f>
        <v>FOTD-50-WHT-196KG</v>
      </c>
      <c r="B129" s="10" t="str">
        <f>T3_SKU!B129</f>
        <v>FOTD-50</v>
      </c>
      <c r="C129" s="10" t="str">
        <f t="array" ref="C129">IFERROR(INDEX(T2_GroupSKU!$B:$B,MATCH(B129,T2_GroupSKU!$A:$A,0)),"")</f>
        <v>FOT (Full Open Top) Drum - 50.0 LTR</v>
      </c>
      <c r="D129" s="10" t="str">
        <f t="array" ref="D129">IFERROR(INDEX(T1_ProductType!$B:$B,MATCH(INDEX(T2_GroupSKU!$C:$C,MATCH(B129,T2_GroupSKU!$A:$A,0)),T1_ProductType!$A:$A,0)),"")</f>
        <v>FOT (Full Open Top) Drum</v>
      </c>
      <c r="E129" s="10" t="str">
        <f t="array" ref="E129">IFERROR(INDEX(T1_ProductType!$C:$C,MATCH(INDEX(T2_GroupSKU!$C:$C,MATCH(B129,T2_GroupSKU!$A:$A,0)),T1_ProductType!$A:$A,0)),"")</f>
        <v>Drum</v>
      </c>
      <c r="F129" s="10" t="str">
        <f t="array" ref="F129">IFERROR(INDEX(T1_ProductType!$D:$D,MATCH(INDEX(T2_GroupSKU!$C:$C,MATCH(B129,T2_GroupSKU!$A:$A,0)),T1_ProductType!$A:$A,0)),"")</f>
        <v>Plastic Barrels</v>
      </c>
      <c r="G129" s="10" t="str">
        <f t="array" ref="G129">IFERROR(IF(INDEX(T1_ProductType!$E:$E,MATCH(INDEX(T2_GroupSKU!$C:$C,MATCH(B129,T2_GroupSKU!$A:$A,0)),T1_ProductType!$A:$A,0))="","-",INDEX(T1_ProductType!$E:$E,MATCH(INDEX(T2_GroupSKU!$C:$C,MATCH(B129,T2_GroupSKU!$A:$A,0)),T1_ProductType!$A:$A,0))),"-")</f>
        <v>Fully Open Top Drum</v>
      </c>
      <c r="H129" s="10">
        <f t="array" ref="H129">IFERROR(IF(INDEX(T2_GroupSKU!$D:$D,MATCH(B129,T2_GroupSKU!$A:$A,0))="","-",INDEX(T2_GroupSKU!$D:$D,MATCH(B129,T2_GroupSKU!$A:$A,0))),"-")</f>
        <v>50</v>
      </c>
      <c r="I129" s="10" t="str">
        <f t="array" ref="I129">IFERROR(IF(INDEX(T2_GroupSKU!$E:$E,MATCH(B129,T2_GroupSKU!$A:$A,0))="","-",INDEX(T2_GroupSKU!$E:$E,MATCH(B129,T2_GroupSKU!$A:$A,0))),"-")</f>
        <v>LTR</v>
      </c>
      <c r="J129" s="10" t="str">
        <f>T3_SKU!C129</f>
        <v>White / 1.96 KG</v>
      </c>
      <c r="K129" s="10" t="str">
        <f>T3_SKU!D129</f>
        <v>50 LTR WHITE FOT 1.96 KG</v>
      </c>
      <c r="L129" s="10" t="str">
        <f>T3_SKU!E129</f>
        <v>NOS</v>
      </c>
      <c r="M129" s="10" t="str">
        <f>T3_SKU!F129</f>
        <v>39233090</v>
      </c>
    </row>
    <row r="130" ht="15.0" customHeight="1">
      <c r="A130" s="10" t="str">
        <f>T3_SKU!A130</f>
        <v>FOTD-50-WHT-25KG</v>
      </c>
      <c r="B130" s="10" t="str">
        <f>T3_SKU!B130</f>
        <v>FOTD-50</v>
      </c>
      <c r="C130" s="10" t="str">
        <f t="array" ref="C130">IFERROR(INDEX(T2_GroupSKU!$B:$B,MATCH(B130,T2_GroupSKU!$A:$A,0)),"")</f>
        <v>FOT (Full Open Top) Drum - 50.0 LTR</v>
      </c>
      <c r="D130" s="10" t="str">
        <f t="array" ref="D130">IFERROR(INDEX(T1_ProductType!$B:$B,MATCH(INDEX(T2_GroupSKU!$C:$C,MATCH(B130,T2_GroupSKU!$A:$A,0)),T1_ProductType!$A:$A,0)),"")</f>
        <v>FOT (Full Open Top) Drum</v>
      </c>
      <c r="E130" s="10" t="str">
        <f t="array" ref="E130">IFERROR(INDEX(T1_ProductType!$C:$C,MATCH(INDEX(T2_GroupSKU!$C:$C,MATCH(B130,T2_GroupSKU!$A:$A,0)),T1_ProductType!$A:$A,0)),"")</f>
        <v>Drum</v>
      </c>
      <c r="F130" s="10" t="str">
        <f t="array" ref="F130">IFERROR(INDEX(T1_ProductType!$D:$D,MATCH(INDEX(T2_GroupSKU!$C:$C,MATCH(B130,T2_GroupSKU!$A:$A,0)),T1_ProductType!$A:$A,0)),"")</f>
        <v>Plastic Barrels</v>
      </c>
      <c r="G130" s="10" t="str">
        <f t="array" ref="G130">IFERROR(IF(INDEX(T1_ProductType!$E:$E,MATCH(INDEX(T2_GroupSKU!$C:$C,MATCH(B130,T2_GroupSKU!$A:$A,0)),T1_ProductType!$A:$A,0))="","-",INDEX(T1_ProductType!$E:$E,MATCH(INDEX(T2_GroupSKU!$C:$C,MATCH(B130,T2_GroupSKU!$A:$A,0)),T1_ProductType!$A:$A,0))),"-")</f>
        <v>Fully Open Top Drum</v>
      </c>
      <c r="H130" s="10">
        <f t="array" ref="H130">IFERROR(IF(INDEX(T2_GroupSKU!$D:$D,MATCH(B130,T2_GroupSKU!$A:$A,0))="","-",INDEX(T2_GroupSKU!$D:$D,MATCH(B130,T2_GroupSKU!$A:$A,0))),"-")</f>
        <v>50</v>
      </c>
      <c r="I130" s="10" t="str">
        <f t="array" ref="I130">IFERROR(IF(INDEX(T2_GroupSKU!$E:$E,MATCH(B130,T2_GroupSKU!$A:$A,0))="","-",INDEX(T2_GroupSKU!$E:$E,MATCH(B130,T2_GroupSKU!$A:$A,0))),"-")</f>
        <v>LTR</v>
      </c>
      <c r="J130" s="10" t="str">
        <f>T3_SKU!C130</f>
        <v>White / 2.5 KG</v>
      </c>
      <c r="K130" s="10" t="str">
        <f>T3_SKU!D130</f>
        <v>50 LTR WHITE FOT 2.5 KG</v>
      </c>
      <c r="L130" s="10" t="str">
        <f>T3_SKU!E130</f>
        <v>NOS</v>
      </c>
      <c r="M130" s="10" t="str">
        <f>T3_SKU!F130</f>
        <v>39233090</v>
      </c>
    </row>
    <row r="131" ht="15.0" customHeight="1">
      <c r="A131" s="10" t="str">
        <f>T3_SKU!A131</f>
        <v>FOTD-50-WHT-26KG</v>
      </c>
      <c r="B131" s="10" t="str">
        <f>T3_SKU!B131</f>
        <v>FOTD-50</v>
      </c>
      <c r="C131" s="10" t="str">
        <f t="array" ref="C131">IFERROR(INDEX(T2_GroupSKU!$B:$B,MATCH(B131,T2_GroupSKU!$A:$A,0)),"")</f>
        <v>FOT (Full Open Top) Drum - 50.0 LTR</v>
      </c>
      <c r="D131" s="10" t="str">
        <f t="array" ref="D131">IFERROR(INDEX(T1_ProductType!$B:$B,MATCH(INDEX(T2_GroupSKU!$C:$C,MATCH(B131,T2_GroupSKU!$A:$A,0)),T1_ProductType!$A:$A,0)),"")</f>
        <v>FOT (Full Open Top) Drum</v>
      </c>
      <c r="E131" s="10" t="str">
        <f t="array" ref="E131">IFERROR(INDEX(T1_ProductType!$C:$C,MATCH(INDEX(T2_GroupSKU!$C:$C,MATCH(B131,T2_GroupSKU!$A:$A,0)),T1_ProductType!$A:$A,0)),"")</f>
        <v>Drum</v>
      </c>
      <c r="F131" s="10" t="str">
        <f t="array" ref="F131">IFERROR(INDEX(T1_ProductType!$D:$D,MATCH(INDEX(T2_GroupSKU!$C:$C,MATCH(B131,T2_GroupSKU!$A:$A,0)),T1_ProductType!$A:$A,0)),"")</f>
        <v>Plastic Barrels</v>
      </c>
      <c r="G131" s="10" t="str">
        <f t="array" ref="G131">IFERROR(IF(INDEX(T1_ProductType!$E:$E,MATCH(INDEX(T2_GroupSKU!$C:$C,MATCH(B131,T2_GroupSKU!$A:$A,0)),T1_ProductType!$A:$A,0))="","-",INDEX(T1_ProductType!$E:$E,MATCH(INDEX(T2_GroupSKU!$C:$C,MATCH(B131,T2_GroupSKU!$A:$A,0)),T1_ProductType!$A:$A,0))),"-")</f>
        <v>Fully Open Top Drum</v>
      </c>
      <c r="H131" s="10">
        <f t="array" ref="H131">IFERROR(IF(INDEX(T2_GroupSKU!$D:$D,MATCH(B131,T2_GroupSKU!$A:$A,0))="","-",INDEX(T2_GroupSKU!$D:$D,MATCH(B131,T2_GroupSKU!$A:$A,0))),"-")</f>
        <v>50</v>
      </c>
      <c r="I131" s="10" t="str">
        <f t="array" ref="I131">IFERROR(IF(INDEX(T2_GroupSKU!$E:$E,MATCH(B131,T2_GroupSKU!$A:$A,0))="","-",INDEX(T2_GroupSKU!$E:$E,MATCH(B131,T2_GroupSKU!$A:$A,0))),"-")</f>
        <v>LTR</v>
      </c>
      <c r="J131" s="10" t="str">
        <f>T3_SKU!C131</f>
        <v>White / 2.6 KG</v>
      </c>
      <c r="K131" s="10" t="str">
        <f>T3_SKU!D131</f>
        <v>50 LTR WHITE FOT 2.6 KG</v>
      </c>
      <c r="L131" s="10" t="str">
        <f>T3_SKU!E131</f>
        <v>NOS</v>
      </c>
      <c r="M131" s="10" t="str">
        <f>T3_SKU!F131</f>
        <v>39233090</v>
      </c>
    </row>
    <row r="132" ht="15.0" customHeight="1">
      <c r="A132" s="10" t="str">
        <f>T3_SKU!A132</f>
        <v>FOTD-50-WHT-28KG</v>
      </c>
      <c r="B132" s="10" t="str">
        <f>T3_SKU!B132</f>
        <v>FOTD-50</v>
      </c>
      <c r="C132" s="10" t="str">
        <f t="array" ref="C132">IFERROR(INDEX(T2_GroupSKU!$B:$B,MATCH(B132,T2_GroupSKU!$A:$A,0)),"")</f>
        <v>FOT (Full Open Top) Drum - 50.0 LTR</v>
      </c>
      <c r="D132" s="10" t="str">
        <f t="array" ref="D132">IFERROR(INDEX(T1_ProductType!$B:$B,MATCH(INDEX(T2_GroupSKU!$C:$C,MATCH(B132,T2_GroupSKU!$A:$A,0)),T1_ProductType!$A:$A,0)),"")</f>
        <v>FOT (Full Open Top) Drum</v>
      </c>
      <c r="E132" s="10" t="str">
        <f t="array" ref="E132">IFERROR(INDEX(T1_ProductType!$C:$C,MATCH(INDEX(T2_GroupSKU!$C:$C,MATCH(B132,T2_GroupSKU!$A:$A,0)),T1_ProductType!$A:$A,0)),"")</f>
        <v>Drum</v>
      </c>
      <c r="F132" s="10" t="str">
        <f t="array" ref="F132">IFERROR(INDEX(T1_ProductType!$D:$D,MATCH(INDEX(T2_GroupSKU!$C:$C,MATCH(B132,T2_GroupSKU!$A:$A,0)),T1_ProductType!$A:$A,0)),"")</f>
        <v>Plastic Barrels</v>
      </c>
      <c r="G132" s="10" t="str">
        <f t="array" ref="G132">IFERROR(IF(INDEX(T1_ProductType!$E:$E,MATCH(INDEX(T2_GroupSKU!$C:$C,MATCH(B132,T2_GroupSKU!$A:$A,0)),T1_ProductType!$A:$A,0))="","-",INDEX(T1_ProductType!$E:$E,MATCH(INDEX(T2_GroupSKU!$C:$C,MATCH(B132,T2_GroupSKU!$A:$A,0)),T1_ProductType!$A:$A,0))),"-")</f>
        <v>Fully Open Top Drum</v>
      </c>
      <c r="H132" s="10">
        <f t="array" ref="H132">IFERROR(IF(INDEX(T2_GroupSKU!$D:$D,MATCH(B132,T2_GroupSKU!$A:$A,0))="","-",INDEX(T2_GroupSKU!$D:$D,MATCH(B132,T2_GroupSKU!$A:$A,0))),"-")</f>
        <v>50</v>
      </c>
      <c r="I132" s="10" t="str">
        <f t="array" ref="I132">IFERROR(IF(INDEX(T2_GroupSKU!$E:$E,MATCH(B132,T2_GroupSKU!$A:$A,0))="","-",INDEX(T2_GroupSKU!$E:$E,MATCH(B132,T2_GroupSKU!$A:$A,0))),"-")</f>
        <v>LTR</v>
      </c>
      <c r="J132" s="10" t="str">
        <f>T3_SKU!C132</f>
        <v>White / 2.8 KG</v>
      </c>
      <c r="K132" s="10" t="str">
        <f>T3_SKU!D132</f>
        <v>50 LTR WHITE FOT 2.8 KG</v>
      </c>
      <c r="L132" s="10" t="str">
        <f>T3_SKU!E132</f>
        <v>NOS</v>
      </c>
      <c r="M132" s="10" t="str">
        <f>T3_SKU!F132</f>
        <v>39233090</v>
      </c>
    </row>
    <row r="133" ht="15.0" customHeight="1">
      <c r="A133" s="10" t="str">
        <f>T3_SKU!A133</f>
        <v>FOTD-50-YEL-196KG</v>
      </c>
      <c r="B133" s="10" t="str">
        <f>T3_SKU!B133</f>
        <v>FOTD-50</v>
      </c>
      <c r="C133" s="10" t="str">
        <f t="array" ref="C133">IFERROR(INDEX(T2_GroupSKU!$B:$B,MATCH(B133,T2_GroupSKU!$A:$A,0)),"")</f>
        <v>FOT (Full Open Top) Drum - 50.0 LTR</v>
      </c>
      <c r="D133" s="10" t="str">
        <f t="array" ref="D133">IFERROR(INDEX(T1_ProductType!$B:$B,MATCH(INDEX(T2_GroupSKU!$C:$C,MATCH(B133,T2_GroupSKU!$A:$A,0)),T1_ProductType!$A:$A,0)),"")</f>
        <v>FOT (Full Open Top) Drum</v>
      </c>
      <c r="E133" s="10" t="str">
        <f t="array" ref="E133">IFERROR(INDEX(T1_ProductType!$C:$C,MATCH(INDEX(T2_GroupSKU!$C:$C,MATCH(B133,T2_GroupSKU!$A:$A,0)),T1_ProductType!$A:$A,0)),"")</f>
        <v>Drum</v>
      </c>
      <c r="F133" s="10" t="str">
        <f t="array" ref="F133">IFERROR(INDEX(T1_ProductType!$D:$D,MATCH(INDEX(T2_GroupSKU!$C:$C,MATCH(B133,T2_GroupSKU!$A:$A,0)),T1_ProductType!$A:$A,0)),"")</f>
        <v>Plastic Barrels</v>
      </c>
      <c r="G133" s="10" t="str">
        <f t="array" ref="G133">IFERROR(IF(INDEX(T1_ProductType!$E:$E,MATCH(INDEX(T2_GroupSKU!$C:$C,MATCH(B133,T2_GroupSKU!$A:$A,0)),T1_ProductType!$A:$A,0))="","-",INDEX(T1_ProductType!$E:$E,MATCH(INDEX(T2_GroupSKU!$C:$C,MATCH(B133,T2_GroupSKU!$A:$A,0)),T1_ProductType!$A:$A,0))),"-")</f>
        <v>Fully Open Top Drum</v>
      </c>
      <c r="H133" s="10">
        <f t="array" ref="H133">IFERROR(IF(INDEX(T2_GroupSKU!$D:$D,MATCH(B133,T2_GroupSKU!$A:$A,0))="","-",INDEX(T2_GroupSKU!$D:$D,MATCH(B133,T2_GroupSKU!$A:$A,0))),"-")</f>
        <v>50</v>
      </c>
      <c r="I133" s="10" t="str">
        <f t="array" ref="I133">IFERROR(IF(INDEX(T2_GroupSKU!$E:$E,MATCH(B133,T2_GroupSKU!$A:$A,0))="","-",INDEX(T2_GroupSKU!$E:$E,MATCH(B133,T2_GroupSKU!$A:$A,0))),"-")</f>
        <v>LTR</v>
      </c>
      <c r="J133" s="10" t="str">
        <f>T3_SKU!C133</f>
        <v>Yellow / 1.96 KG</v>
      </c>
      <c r="K133" s="10" t="str">
        <f>T3_SKU!D133</f>
        <v>50 LTR YELLOW FOT 1.96 KG</v>
      </c>
      <c r="L133" s="10" t="str">
        <f>T3_SKU!E133</f>
        <v>NOS</v>
      </c>
      <c r="M133" s="10" t="str">
        <f>T3_SKU!F133</f>
        <v>39233090</v>
      </c>
    </row>
    <row r="134" ht="15.0" customHeight="1">
      <c r="A134" s="10" t="str">
        <f>T3_SKU!A134</f>
        <v>FOTD-50-YEL-28KG</v>
      </c>
      <c r="B134" s="10" t="str">
        <f>T3_SKU!B134</f>
        <v>FOTD-50</v>
      </c>
      <c r="C134" s="10" t="str">
        <f t="array" ref="C134">IFERROR(INDEX(T2_GroupSKU!$B:$B,MATCH(B134,T2_GroupSKU!$A:$A,0)),"")</f>
        <v>FOT (Full Open Top) Drum - 50.0 LTR</v>
      </c>
      <c r="D134" s="10" t="str">
        <f t="array" ref="D134">IFERROR(INDEX(T1_ProductType!$B:$B,MATCH(INDEX(T2_GroupSKU!$C:$C,MATCH(B134,T2_GroupSKU!$A:$A,0)),T1_ProductType!$A:$A,0)),"")</f>
        <v>FOT (Full Open Top) Drum</v>
      </c>
      <c r="E134" s="10" t="str">
        <f t="array" ref="E134">IFERROR(INDEX(T1_ProductType!$C:$C,MATCH(INDEX(T2_GroupSKU!$C:$C,MATCH(B134,T2_GroupSKU!$A:$A,0)),T1_ProductType!$A:$A,0)),"")</f>
        <v>Drum</v>
      </c>
      <c r="F134" s="10" t="str">
        <f t="array" ref="F134">IFERROR(INDEX(T1_ProductType!$D:$D,MATCH(INDEX(T2_GroupSKU!$C:$C,MATCH(B134,T2_GroupSKU!$A:$A,0)),T1_ProductType!$A:$A,0)),"")</f>
        <v>Plastic Barrels</v>
      </c>
      <c r="G134" s="10" t="str">
        <f t="array" ref="G134">IFERROR(IF(INDEX(T1_ProductType!$E:$E,MATCH(INDEX(T2_GroupSKU!$C:$C,MATCH(B134,T2_GroupSKU!$A:$A,0)),T1_ProductType!$A:$A,0))="","-",INDEX(T1_ProductType!$E:$E,MATCH(INDEX(T2_GroupSKU!$C:$C,MATCH(B134,T2_GroupSKU!$A:$A,0)),T1_ProductType!$A:$A,0))),"-")</f>
        <v>Fully Open Top Drum</v>
      </c>
      <c r="H134" s="10">
        <f t="array" ref="H134">IFERROR(IF(INDEX(T2_GroupSKU!$D:$D,MATCH(B134,T2_GroupSKU!$A:$A,0))="","-",INDEX(T2_GroupSKU!$D:$D,MATCH(B134,T2_GroupSKU!$A:$A,0))),"-")</f>
        <v>50</v>
      </c>
      <c r="I134" s="10" t="str">
        <f t="array" ref="I134">IFERROR(IF(INDEX(T2_GroupSKU!$E:$E,MATCH(B134,T2_GroupSKU!$A:$A,0))="","-",INDEX(T2_GroupSKU!$E:$E,MATCH(B134,T2_GroupSKU!$A:$A,0))),"-")</f>
        <v>LTR</v>
      </c>
      <c r="J134" s="10" t="str">
        <f>T3_SKU!C134</f>
        <v>Yellow / 2.8 KG</v>
      </c>
      <c r="K134" s="10" t="str">
        <f>T3_SKU!D134</f>
        <v>50 LTR YELLOW FOT 2.8 KG</v>
      </c>
      <c r="L134" s="10" t="str">
        <f>T3_SKU!E134</f>
        <v>NOS</v>
      </c>
      <c r="M134" s="10" t="str">
        <f>T3_SKU!F134</f>
        <v>39233090</v>
      </c>
    </row>
    <row r="135" ht="15.0" customHeight="1">
      <c r="A135" s="10" t="str">
        <f>T3_SKU!A135</f>
        <v>FOTD-60-BLU-216KG</v>
      </c>
      <c r="B135" s="10" t="str">
        <f>T3_SKU!B135</f>
        <v>FOTD-60</v>
      </c>
      <c r="C135" s="10" t="str">
        <f t="array" ref="C135">IFERROR(INDEX(T2_GroupSKU!$B:$B,MATCH(B135,T2_GroupSKU!$A:$A,0)),"")</f>
        <v>FOT (Full Open Top) Drum - 60.0 LTR</v>
      </c>
      <c r="D135" s="10" t="str">
        <f t="array" ref="D135">IFERROR(INDEX(T1_ProductType!$B:$B,MATCH(INDEX(T2_GroupSKU!$C:$C,MATCH(B135,T2_GroupSKU!$A:$A,0)),T1_ProductType!$A:$A,0)),"")</f>
        <v>FOT (Full Open Top) Drum</v>
      </c>
      <c r="E135" s="10" t="str">
        <f t="array" ref="E135">IFERROR(INDEX(T1_ProductType!$C:$C,MATCH(INDEX(T2_GroupSKU!$C:$C,MATCH(B135,T2_GroupSKU!$A:$A,0)),T1_ProductType!$A:$A,0)),"")</f>
        <v>Drum</v>
      </c>
      <c r="F135" s="10" t="str">
        <f t="array" ref="F135">IFERROR(INDEX(T1_ProductType!$D:$D,MATCH(INDEX(T2_GroupSKU!$C:$C,MATCH(B135,T2_GroupSKU!$A:$A,0)),T1_ProductType!$A:$A,0)),"")</f>
        <v>Plastic Barrels</v>
      </c>
      <c r="G135" s="10" t="str">
        <f t="array" ref="G135">IFERROR(IF(INDEX(T1_ProductType!$E:$E,MATCH(INDEX(T2_GroupSKU!$C:$C,MATCH(B135,T2_GroupSKU!$A:$A,0)),T1_ProductType!$A:$A,0))="","-",INDEX(T1_ProductType!$E:$E,MATCH(INDEX(T2_GroupSKU!$C:$C,MATCH(B135,T2_GroupSKU!$A:$A,0)),T1_ProductType!$A:$A,0))),"-")</f>
        <v>Fully Open Top Drum</v>
      </c>
      <c r="H135" s="10">
        <f t="array" ref="H135">IFERROR(IF(INDEX(T2_GroupSKU!$D:$D,MATCH(B135,T2_GroupSKU!$A:$A,0))="","-",INDEX(T2_GroupSKU!$D:$D,MATCH(B135,T2_GroupSKU!$A:$A,0))),"-")</f>
        <v>60</v>
      </c>
      <c r="I135" s="10" t="str">
        <f t="array" ref="I135">IFERROR(IF(INDEX(T2_GroupSKU!$E:$E,MATCH(B135,T2_GroupSKU!$A:$A,0))="","-",INDEX(T2_GroupSKU!$E:$E,MATCH(B135,T2_GroupSKU!$A:$A,0))),"-")</f>
        <v>LTR</v>
      </c>
      <c r="J135" s="10" t="str">
        <f>T3_SKU!C135</f>
        <v>Blue / 2.16 KG</v>
      </c>
      <c r="K135" s="10" t="str">
        <f>T3_SKU!D135</f>
        <v>60 LTR BLUE FOT 2.16 KG</v>
      </c>
      <c r="L135" s="10" t="str">
        <f>T3_SKU!E135</f>
        <v>NOS</v>
      </c>
      <c r="M135" s="10" t="str">
        <f>T3_SKU!F135</f>
        <v>39233090</v>
      </c>
    </row>
    <row r="136" ht="15.0" customHeight="1">
      <c r="A136" s="10" t="str">
        <f>T3_SKU!A136</f>
        <v>FOTD-60-BLU-226KG</v>
      </c>
      <c r="B136" s="10" t="str">
        <f>T3_SKU!B136</f>
        <v>FOTD-60</v>
      </c>
      <c r="C136" s="10" t="str">
        <f t="array" ref="C136">IFERROR(INDEX(T2_GroupSKU!$B:$B,MATCH(B136,T2_GroupSKU!$A:$A,0)),"")</f>
        <v>FOT (Full Open Top) Drum - 60.0 LTR</v>
      </c>
      <c r="D136" s="10" t="str">
        <f t="array" ref="D136">IFERROR(INDEX(T1_ProductType!$B:$B,MATCH(INDEX(T2_GroupSKU!$C:$C,MATCH(B136,T2_GroupSKU!$A:$A,0)),T1_ProductType!$A:$A,0)),"")</f>
        <v>FOT (Full Open Top) Drum</v>
      </c>
      <c r="E136" s="10" t="str">
        <f t="array" ref="E136">IFERROR(INDEX(T1_ProductType!$C:$C,MATCH(INDEX(T2_GroupSKU!$C:$C,MATCH(B136,T2_GroupSKU!$A:$A,0)),T1_ProductType!$A:$A,0)),"")</f>
        <v>Drum</v>
      </c>
      <c r="F136" s="10" t="str">
        <f t="array" ref="F136">IFERROR(INDEX(T1_ProductType!$D:$D,MATCH(INDEX(T2_GroupSKU!$C:$C,MATCH(B136,T2_GroupSKU!$A:$A,0)),T1_ProductType!$A:$A,0)),"")</f>
        <v>Plastic Barrels</v>
      </c>
      <c r="G136" s="10" t="str">
        <f t="array" ref="G136">IFERROR(IF(INDEX(T1_ProductType!$E:$E,MATCH(INDEX(T2_GroupSKU!$C:$C,MATCH(B136,T2_GroupSKU!$A:$A,0)),T1_ProductType!$A:$A,0))="","-",INDEX(T1_ProductType!$E:$E,MATCH(INDEX(T2_GroupSKU!$C:$C,MATCH(B136,T2_GroupSKU!$A:$A,0)),T1_ProductType!$A:$A,0))),"-")</f>
        <v>Fully Open Top Drum</v>
      </c>
      <c r="H136" s="10">
        <f t="array" ref="H136">IFERROR(IF(INDEX(T2_GroupSKU!$D:$D,MATCH(B136,T2_GroupSKU!$A:$A,0))="","-",INDEX(T2_GroupSKU!$D:$D,MATCH(B136,T2_GroupSKU!$A:$A,0))),"-")</f>
        <v>60</v>
      </c>
      <c r="I136" s="10" t="str">
        <f t="array" ref="I136">IFERROR(IF(INDEX(T2_GroupSKU!$E:$E,MATCH(B136,T2_GroupSKU!$A:$A,0))="","-",INDEX(T2_GroupSKU!$E:$E,MATCH(B136,T2_GroupSKU!$A:$A,0))),"-")</f>
        <v>LTR</v>
      </c>
      <c r="J136" s="10" t="str">
        <f>T3_SKU!C136</f>
        <v>Blue / 2.26 KG</v>
      </c>
      <c r="K136" s="10" t="str">
        <f>T3_SKU!D136</f>
        <v>60 LTR BLUE FOT 2.260 KG</v>
      </c>
      <c r="L136" s="10" t="str">
        <f>T3_SKU!E136</f>
        <v>NOS</v>
      </c>
      <c r="M136" s="10" t="str">
        <f>T3_SKU!F136</f>
        <v>39233090</v>
      </c>
    </row>
    <row r="137" ht="15.0" customHeight="1">
      <c r="A137" s="10" t="str">
        <f>T3_SKU!A137</f>
        <v>FOTD-60-BLU-246KG</v>
      </c>
      <c r="B137" s="10" t="str">
        <f>T3_SKU!B137</f>
        <v>FOTD-60</v>
      </c>
      <c r="C137" s="10" t="str">
        <f t="array" ref="C137">IFERROR(INDEX(T2_GroupSKU!$B:$B,MATCH(B137,T2_GroupSKU!$A:$A,0)),"")</f>
        <v>FOT (Full Open Top) Drum - 60.0 LTR</v>
      </c>
      <c r="D137" s="10" t="str">
        <f t="array" ref="D137">IFERROR(INDEX(T1_ProductType!$B:$B,MATCH(INDEX(T2_GroupSKU!$C:$C,MATCH(B137,T2_GroupSKU!$A:$A,0)),T1_ProductType!$A:$A,0)),"")</f>
        <v>FOT (Full Open Top) Drum</v>
      </c>
      <c r="E137" s="10" t="str">
        <f t="array" ref="E137">IFERROR(INDEX(T1_ProductType!$C:$C,MATCH(INDEX(T2_GroupSKU!$C:$C,MATCH(B137,T2_GroupSKU!$A:$A,0)),T1_ProductType!$A:$A,0)),"")</f>
        <v>Drum</v>
      </c>
      <c r="F137" s="10" t="str">
        <f t="array" ref="F137">IFERROR(INDEX(T1_ProductType!$D:$D,MATCH(INDEX(T2_GroupSKU!$C:$C,MATCH(B137,T2_GroupSKU!$A:$A,0)),T1_ProductType!$A:$A,0)),"")</f>
        <v>Plastic Barrels</v>
      </c>
      <c r="G137" s="10" t="str">
        <f t="array" ref="G137">IFERROR(IF(INDEX(T1_ProductType!$E:$E,MATCH(INDEX(T2_GroupSKU!$C:$C,MATCH(B137,T2_GroupSKU!$A:$A,0)),T1_ProductType!$A:$A,0))="","-",INDEX(T1_ProductType!$E:$E,MATCH(INDEX(T2_GroupSKU!$C:$C,MATCH(B137,T2_GroupSKU!$A:$A,0)),T1_ProductType!$A:$A,0))),"-")</f>
        <v>Fully Open Top Drum</v>
      </c>
      <c r="H137" s="10">
        <f t="array" ref="H137">IFERROR(IF(INDEX(T2_GroupSKU!$D:$D,MATCH(B137,T2_GroupSKU!$A:$A,0))="","-",INDEX(T2_GroupSKU!$D:$D,MATCH(B137,T2_GroupSKU!$A:$A,0))),"-")</f>
        <v>60</v>
      </c>
      <c r="I137" s="10" t="str">
        <f t="array" ref="I137">IFERROR(IF(INDEX(T2_GroupSKU!$E:$E,MATCH(B137,T2_GroupSKU!$A:$A,0))="","-",INDEX(T2_GroupSKU!$E:$E,MATCH(B137,T2_GroupSKU!$A:$A,0))),"-")</f>
        <v>LTR</v>
      </c>
      <c r="J137" s="10" t="str">
        <f>T3_SKU!C137</f>
        <v>Blue / 2.46 KG</v>
      </c>
      <c r="K137" s="10" t="str">
        <f>T3_SKU!D137</f>
        <v>60 LTR BLUE FOT 2.46 KG</v>
      </c>
      <c r="L137" s="10" t="str">
        <f>T3_SKU!E137</f>
        <v>NOS</v>
      </c>
      <c r="M137" s="10" t="str">
        <f>T3_SKU!F137</f>
        <v>39233090</v>
      </c>
    </row>
    <row r="138" ht="15.0" customHeight="1">
      <c r="A138" s="10" t="str">
        <f>T3_SKU!A138</f>
        <v>FOTD-60-BLU-25KG</v>
      </c>
      <c r="B138" s="10" t="str">
        <f>T3_SKU!B138</f>
        <v>FOTD-60</v>
      </c>
      <c r="C138" s="10" t="str">
        <f t="array" ref="C138">IFERROR(INDEX(T2_GroupSKU!$B:$B,MATCH(B138,T2_GroupSKU!$A:$A,0)),"")</f>
        <v>FOT (Full Open Top) Drum - 60.0 LTR</v>
      </c>
      <c r="D138" s="10" t="str">
        <f t="array" ref="D138">IFERROR(INDEX(T1_ProductType!$B:$B,MATCH(INDEX(T2_GroupSKU!$C:$C,MATCH(B138,T2_GroupSKU!$A:$A,0)),T1_ProductType!$A:$A,0)),"")</f>
        <v>FOT (Full Open Top) Drum</v>
      </c>
      <c r="E138" s="10" t="str">
        <f t="array" ref="E138">IFERROR(INDEX(T1_ProductType!$C:$C,MATCH(INDEX(T2_GroupSKU!$C:$C,MATCH(B138,T2_GroupSKU!$A:$A,0)),T1_ProductType!$A:$A,0)),"")</f>
        <v>Drum</v>
      </c>
      <c r="F138" s="10" t="str">
        <f t="array" ref="F138">IFERROR(INDEX(T1_ProductType!$D:$D,MATCH(INDEX(T2_GroupSKU!$C:$C,MATCH(B138,T2_GroupSKU!$A:$A,0)),T1_ProductType!$A:$A,0)),"")</f>
        <v>Plastic Barrels</v>
      </c>
      <c r="G138" s="10" t="str">
        <f t="array" ref="G138">IFERROR(IF(INDEX(T1_ProductType!$E:$E,MATCH(INDEX(T2_GroupSKU!$C:$C,MATCH(B138,T2_GroupSKU!$A:$A,0)),T1_ProductType!$A:$A,0))="","-",INDEX(T1_ProductType!$E:$E,MATCH(INDEX(T2_GroupSKU!$C:$C,MATCH(B138,T2_GroupSKU!$A:$A,0)),T1_ProductType!$A:$A,0))),"-")</f>
        <v>Fully Open Top Drum</v>
      </c>
      <c r="H138" s="10">
        <f t="array" ref="H138">IFERROR(IF(INDEX(T2_GroupSKU!$D:$D,MATCH(B138,T2_GroupSKU!$A:$A,0))="","-",INDEX(T2_GroupSKU!$D:$D,MATCH(B138,T2_GroupSKU!$A:$A,0))),"-")</f>
        <v>60</v>
      </c>
      <c r="I138" s="10" t="str">
        <f t="array" ref="I138">IFERROR(IF(INDEX(T2_GroupSKU!$E:$E,MATCH(B138,T2_GroupSKU!$A:$A,0))="","-",INDEX(T2_GroupSKU!$E:$E,MATCH(B138,T2_GroupSKU!$A:$A,0))),"-")</f>
        <v>LTR</v>
      </c>
      <c r="J138" s="10" t="str">
        <f>T3_SKU!C138</f>
        <v>Blue / 2.5 KG</v>
      </c>
      <c r="K138" s="10" t="str">
        <f>T3_SKU!D138</f>
        <v>60 LTR BLUE FOT 2.5 KG</v>
      </c>
      <c r="L138" s="10" t="str">
        <f>T3_SKU!E138</f>
        <v>NOS</v>
      </c>
      <c r="M138" s="10" t="str">
        <f>T3_SKU!F138</f>
        <v>39233090</v>
      </c>
    </row>
    <row r="139" ht="15.0" customHeight="1">
      <c r="A139" s="10" t="str">
        <f>T3_SKU!A139</f>
        <v>FOTD-60-BLU-266KG</v>
      </c>
      <c r="B139" s="10" t="str">
        <f>T3_SKU!B139</f>
        <v>FOTD-60</v>
      </c>
      <c r="C139" s="10" t="str">
        <f t="array" ref="C139">IFERROR(INDEX(T2_GroupSKU!$B:$B,MATCH(B139,T2_GroupSKU!$A:$A,0)),"")</f>
        <v>FOT (Full Open Top) Drum - 60.0 LTR</v>
      </c>
      <c r="D139" s="10" t="str">
        <f t="array" ref="D139">IFERROR(INDEX(T1_ProductType!$B:$B,MATCH(INDEX(T2_GroupSKU!$C:$C,MATCH(B139,T2_GroupSKU!$A:$A,0)),T1_ProductType!$A:$A,0)),"")</f>
        <v>FOT (Full Open Top) Drum</v>
      </c>
      <c r="E139" s="10" t="str">
        <f t="array" ref="E139">IFERROR(INDEX(T1_ProductType!$C:$C,MATCH(INDEX(T2_GroupSKU!$C:$C,MATCH(B139,T2_GroupSKU!$A:$A,0)),T1_ProductType!$A:$A,0)),"")</f>
        <v>Drum</v>
      </c>
      <c r="F139" s="10" t="str">
        <f t="array" ref="F139">IFERROR(INDEX(T1_ProductType!$D:$D,MATCH(INDEX(T2_GroupSKU!$C:$C,MATCH(B139,T2_GroupSKU!$A:$A,0)),T1_ProductType!$A:$A,0)),"")</f>
        <v>Plastic Barrels</v>
      </c>
      <c r="G139" s="10" t="str">
        <f t="array" ref="G139">IFERROR(IF(INDEX(T1_ProductType!$E:$E,MATCH(INDEX(T2_GroupSKU!$C:$C,MATCH(B139,T2_GroupSKU!$A:$A,0)),T1_ProductType!$A:$A,0))="","-",INDEX(T1_ProductType!$E:$E,MATCH(INDEX(T2_GroupSKU!$C:$C,MATCH(B139,T2_GroupSKU!$A:$A,0)),T1_ProductType!$A:$A,0))),"-")</f>
        <v>Fully Open Top Drum</v>
      </c>
      <c r="H139" s="10">
        <f t="array" ref="H139">IFERROR(IF(INDEX(T2_GroupSKU!$D:$D,MATCH(B139,T2_GroupSKU!$A:$A,0))="","-",INDEX(T2_GroupSKU!$D:$D,MATCH(B139,T2_GroupSKU!$A:$A,0))),"-")</f>
        <v>60</v>
      </c>
      <c r="I139" s="10" t="str">
        <f t="array" ref="I139">IFERROR(IF(INDEX(T2_GroupSKU!$E:$E,MATCH(B139,T2_GroupSKU!$A:$A,0))="","-",INDEX(T2_GroupSKU!$E:$E,MATCH(B139,T2_GroupSKU!$A:$A,0))),"-")</f>
        <v>LTR</v>
      </c>
      <c r="J139" s="10" t="str">
        <f>T3_SKU!C139</f>
        <v>Blue / 2.66 KG</v>
      </c>
      <c r="K139" s="10" t="str">
        <f>T3_SKU!D139</f>
        <v>60 LTR BLUE FOT 2.66 KG</v>
      </c>
      <c r="L139" s="10" t="str">
        <f>T3_SKU!E139</f>
        <v>NOS</v>
      </c>
      <c r="M139" s="10" t="str">
        <f>T3_SKU!F139</f>
        <v>39233090</v>
      </c>
    </row>
    <row r="140" ht="15.0" customHeight="1">
      <c r="A140" s="10" t="str">
        <f>T3_SKU!A140</f>
        <v>FOTD-60-BLU-28KG</v>
      </c>
      <c r="B140" s="10" t="str">
        <f>T3_SKU!B140</f>
        <v>FOTD-60</v>
      </c>
      <c r="C140" s="10" t="str">
        <f t="array" ref="C140">IFERROR(INDEX(T2_GroupSKU!$B:$B,MATCH(B140,T2_GroupSKU!$A:$A,0)),"")</f>
        <v>FOT (Full Open Top) Drum - 60.0 LTR</v>
      </c>
      <c r="D140" s="10" t="str">
        <f t="array" ref="D140">IFERROR(INDEX(T1_ProductType!$B:$B,MATCH(INDEX(T2_GroupSKU!$C:$C,MATCH(B140,T2_GroupSKU!$A:$A,0)),T1_ProductType!$A:$A,0)),"")</f>
        <v>FOT (Full Open Top) Drum</v>
      </c>
      <c r="E140" s="10" t="str">
        <f t="array" ref="E140">IFERROR(INDEX(T1_ProductType!$C:$C,MATCH(INDEX(T2_GroupSKU!$C:$C,MATCH(B140,T2_GroupSKU!$A:$A,0)),T1_ProductType!$A:$A,0)),"")</f>
        <v>Drum</v>
      </c>
      <c r="F140" s="10" t="str">
        <f t="array" ref="F140">IFERROR(INDEX(T1_ProductType!$D:$D,MATCH(INDEX(T2_GroupSKU!$C:$C,MATCH(B140,T2_GroupSKU!$A:$A,0)),T1_ProductType!$A:$A,0)),"")</f>
        <v>Plastic Barrels</v>
      </c>
      <c r="G140" s="10" t="str">
        <f t="array" ref="G140">IFERROR(IF(INDEX(T1_ProductType!$E:$E,MATCH(INDEX(T2_GroupSKU!$C:$C,MATCH(B140,T2_GroupSKU!$A:$A,0)),T1_ProductType!$A:$A,0))="","-",INDEX(T1_ProductType!$E:$E,MATCH(INDEX(T2_GroupSKU!$C:$C,MATCH(B140,T2_GroupSKU!$A:$A,0)),T1_ProductType!$A:$A,0))),"-")</f>
        <v>Fully Open Top Drum</v>
      </c>
      <c r="H140" s="10">
        <f t="array" ref="H140">IFERROR(IF(INDEX(T2_GroupSKU!$D:$D,MATCH(B140,T2_GroupSKU!$A:$A,0))="","-",INDEX(T2_GroupSKU!$D:$D,MATCH(B140,T2_GroupSKU!$A:$A,0))),"-")</f>
        <v>60</v>
      </c>
      <c r="I140" s="10" t="str">
        <f t="array" ref="I140">IFERROR(IF(INDEX(T2_GroupSKU!$E:$E,MATCH(B140,T2_GroupSKU!$A:$A,0))="","-",INDEX(T2_GroupSKU!$E:$E,MATCH(B140,T2_GroupSKU!$A:$A,0))),"-")</f>
        <v>LTR</v>
      </c>
      <c r="J140" s="10" t="str">
        <f>T3_SKU!C140</f>
        <v>Blue / 2.8 KG</v>
      </c>
      <c r="K140" s="10" t="str">
        <f>T3_SKU!D140</f>
        <v>60 LTR BLUE FOT 2.8 KG</v>
      </c>
      <c r="L140" s="10" t="str">
        <f>T3_SKU!E140</f>
        <v>NOS</v>
      </c>
      <c r="M140" s="10" t="str">
        <f>T3_SKU!F140</f>
        <v>39233090</v>
      </c>
    </row>
    <row r="141" ht="15.0" customHeight="1">
      <c r="A141" s="10" t="str">
        <f>T3_SKU!A141</f>
        <v>FOTD-60-BLU-30KG</v>
      </c>
      <c r="B141" s="10" t="str">
        <f>T3_SKU!B141</f>
        <v>FOTD-60</v>
      </c>
      <c r="C141" s="10" t="str">
        <f t="array" ref="C141">IFERROR(INDEX(T2_GroupSKU!$B:$B,MATCH(B141,T2_GroupSKU!$A:$A,0)),"")</f>
        <v>FOT (Full Open Top) Drum - 60.0 LTR</v>
      </c>
      <c r="D141" s="10" t="str">
        <f t="array" ref="D141">IFERROR(INDEX(T1_ProductType!$B:$B,MATCH(INDEX(T2_GroupSKU!$C:$C,MATCH(B141,T2_GroupSKU!$A:$A,0)),T1_ProductType!$A:$A,0)),"")</f>
        <v>FOT (Full Open Top) Drum</v>
      </c>
      <c r="E141" s="10" t="str">
        <f t="array" ref="E141">IFERROR(INDEX(T1_ProductType!$C:$C,MATCH(INDEX(T2_GroupSKU!$C:$C,MATCH(B141,T2_GroupSKU!$A:$A,0)),T1_ProductType!$A:$A,0)),"")</f>
        <v>Drum</v>
      </c>
      <c r="F141" s="10" t="str">
        <f t="array" ref="F141">IFERROR(INDEX(T1_ProductType!$D:$D,MATCH(INDEX(T2_GroupSKU!$C:$C,MATCH(B141,T2_GroupSKU!$A:$A,0)),T1_ProductType!$A:$A,0)),"")</f>
        <v>Plastic Barrels</v>
      </c>
      <c r="G141" s="10" t="str">
        <f t="array" ref="G141">IFERROR(IF(INDEX(T1_ProductType!$E:$E,MATCH(INDEX(T2_GroupSKU!$C:$C,MATCH(B141,T2_GroupSKU!$A:$A,0)),T1_ProductType!$A:$A,0))="","-",INDEX(T1_ProductType!$E:$E,MATCH(INDEX(T2_GroupSKU!$C:$C,MATCH(B141,T2_GroupSKU!$A:$A,0)),T1_ProductType!$A:$A,0))),"-")</f>
        <v>Fully Open Top Drum</v>
      </c>
      <c r="H141" s="10">
        <f t="array" ref="H141">IFERROR(IF(INDEX(T2_GroupSKU!$D:$D,MATCH(B141,T2_GroupSKU!$A:$A,0))="","-",INDEX(T2_GroupSKU!$D:$D,MATCH(B141,T2_GroupSKU!$A:$A,0))),"-")</f>
        <v>60</v>
      </c>
      <c r="I141" s="10" t="str">
        <f t="array" ref="I141">IFERROR(IF(INDEX(T2_GroupSKU!$E:$E,MATCH(B141,T2_GroupSKU!$A:$A,0))="","-",INDEX(T2_GroupSKU!$E:$E,MATCH(B141,T2_GroupSKU!$A:$A,0))),"-")</f>
        <v>LTR</v>
      </c>
      <c r="J141" s="10" t="str">
        <f>T3_SKU!C141</f>
        <v>Blue / 3.0 KG</v>
      </c>
      <c r="K141" s="10" t="str">
        <f>T3_SKU!D141</f>
        <v>60 LTR BLUE FOT 3.0 KG</v>
      </c>
      <c r="L141" s="10" t="str">
        <f>T3_SKU!E141</f>
        <v>NOS</v>
      </c>
      <c r="M141" s="10" t="str">
        <f>T3_SKU!F141</f>
        <v>39233090</v>
      </c>
    </row>
    <row r="142" ht="15.0" customHeight="1">
      <c r="A142" s="10" t="str">
        <f>T3_SKU!A142</f>
        <v>FOTD-60-BLU-316KG</v>
      </c>
      <c r="B142" s="10" t="str">
        <f>T3_SKU!B142</f>
        <v>FOTD-60</v>
      </c>
      <c r="C142" s="10" t="str">
        <f t="array" ref="C142">IFERROR(INDEX(T2_GroupSKU!$B:$B,MATCH(B142,T2_GroupSKU!$A:$A,0)),"")</f>
        <v>FOT (Full Open Top) Drum - 60.0 LTR</v>
      </c>
      <c r="D142" s="10" t="str">
        <f t="array" ref="D142">IFERROR(INDEX(T1_ProductType!$B:$B,MATCH(INDEX(T2_GroupSKU!$C:$C,MATCH(B142,T2_GroupSKU!$A:$A,0)),T1_ProductType!$A:$A,0)),"")</f>
        <v>FOT (Full Open Top) Drum</v>
      </c>
      <c r="E142" s="10" t="str">
        <f t="array" ref="E142">IFERROR(INDEX(T1_ProductType!$C:$C,MATCH(INDEX(T2_GroupSKU!$C:$C,MATCH(B142,T2_GroupSKU!$A:$A,0)),T1_ProductType!$A:$A,0)),"")</f>
        <v>Drum</v>
      </c>
      <c r="F142" s="10" t="str">
        <f t="array" ref="F142">IFERROR(INDEX(T1_ProductType!$D:$D,MATCH(INDEX(T2_GroupSKU!$C:$C,MATCH(B142,T2_GroupSKU!$A:$A,0)),T1_ProductType!$A:$A,0)),"")</f>
        <v>Plastic Barrels</v>
      </c>
      <c r="G142" s="10" t="str">
        <f t="array" ref="G142">IFERROR(IF(INDEX(T1_ProductType!$E:$E,MATCH(INDEX(T2_GroupSKU!$C:$C,MATCH(B142,T2_GroupSKU!$A:$A,0)),T1_ProductType!$A:$A,0))="","-",INDEX(T1_ProductType!$E:$E,MATCH(INDEX(T2_GroupSKU!$C:$C,MATCH(B142,T2_GroupSKU!$A:$A,0)),T1_ProductType!$A:$A,0))),"-")</f>
        <v>Fully Open Top Drum</v>
      </c>
      <c r="H142" s="10">
        <f t="array" ref="H142">IFERROR(IF(INDEX(T2_GroupSKU!$D:$D,MATCH(B142,T2_GroupSKU!$A:$A,0))="","-",INDEX(T2_GroupSKU!$D:$D,MATCH(B142,T2_GroupSKU!$A:$A,0))),"-")</f>
        <v>60</v>
      </c>
      <c r="I142" s="10" t="str">
        <f t="array" ref="I142">IFERROR(IF(INDEX(T2_GroupSKU!$E:$E,MATCH(B142,T2_GroupSKU!$A:$A,0))="","-",INDEX(T2_GroupSKU!$E:$E,MATCH(B142,T2_GroupSKU!$A:$A,0))),"-")</f>
        <v>LTR</v>
      </c>
      <c r="J142" s="10" t="str">
        <f>T3_SKU!C142</f>
        <v>Blue / 3.16 KG</v>
      </c>
      <c r="K142" s="10" t="str">
        <f>T3_SKU!D142</f>
        <v>60 LTR BLUE FOT 3.16 KG</v>
      </c>
      <c r="L142" s="10" t="str">
        <f>T3_SKU!E142</f>
        <v>NOS</v>
      </c>
      <c r="M142" s="10" t="str">
        <f>T3_SKU!F142</f>
        <v>39233090</v>
      </c>
    </row>
    <row r="143" ht="15.0" customHeight="1">
      <c r="A143" s="10" t="str">
        <f>T3_SKU!A143</f>
        <v>FOTD-60-BLU-35KG</v>
      </c>
      <c r="B143" s="10" t="str">
        <f>T3_SKU!B143</f>
        <v>FOTD-60</v>
      </c>
      <c r="C143" s="10" t="str">
        <f t="array" ref="C143">IFERROR(INDEX(T2_GroupSKU!$B:$B,MATCH(B143,T2_GroupSKU!$A:$A,0)),"")</f>
        <v>FOT (Full Open Top) Drum - 60.0 LTR</v>
      </c>
      <c r="D143" s="10" t="str">
        <f t="array" ref="D143">IFERROR(INDEX(T1_ProductType!$B:$B,MATCH(INDEX(T2_GroupSKU!$C:$C,MATCH(B143,T2_GroupSKU!$A:$A,0)),T1_ProductType!$A:$A,0)),"")</f>
        <v>FOT (Full Open Top) Drum</v>
      </c>
      <c r="E143" s="10" t="str">
        <f t="array" ref="E143">IFERROR(INDEX(T1_ProductType!$C:$C,MATCH(INDEX(T2_GroupSKU!$C:$C,MATCH(B143,T2_GroupSKU!$A:$A,0)),T1_ProductType!$A:$A,0)),"")</f>
        <v>Drum</v>
      </c>
      <c r="F143" s="10" t="str">
        <f t="array" ref="F143">IFERROR(INDEX(T1_ProductType!$D:$D,MATCH(INDEX(T2_GroupSKU!$C:$C,MATCH(B143,T2_GroupSKU!$A:$A,0)),T1_ProductType!$A:$A,0)),"")</f>
        <v>Plastic Barrels</v>
      </c>
      <c r="G143" s="10" t="str">
        <f t="array" ref="G143">IFERROR(IF(INDEX(T1_ProductType!$E:$E,MATCH(INDEX(T2_GroupSKU!$C:$C,MATCH(B143,T2_GroupSKU!$A:$A,0)),T1_ProductType!$A:$A,0))="","-",INDEX(T1_ProductType!$E:$E,MATCH(INDEX(T2_GroupSKU!$C:$C,MATCH(B143,T2_GroupSKU!$A:$A,0)),T1_ProductType!$A:$A,0))),"-")</f>
        <v>Fully Open Top Drum</v>
      </c>
      <c r="H143" s="10">
        <f t="array" ref="H143">IFERROR(IF(INDEX(T2_GroupSKU!$D:$D,MATCH(B143,T2_GroupSKU!$A:$A,0))="","-",INDEX(T2_GroupSKU!$D:$D,MATCH(B143,T2_GroupSKU!$A:$A,0))),"-")</f>
        <v>60</v>
      </c>
      <c r="I143" s="10" t="str">
        <f t="array" ref="I143">IFERROR(IF(INDEX(T2_GroupSKU!$E:$E,MATCH(B143,T2_GroupSKU!$A:$A,0))="","-",INDEX(T2_GroupSKU!$E:$E,MATCH(B143,T2_GroupSKU!$A:$A,0))),"-")</f>
        <v>LTR</v>
      </c>
      <c r="J143" s="10" t="str">
        <f>T3_SKU!C143</f>
        <v>Blue / 3.5 KG</v>
      </c>
      <c r="K143" s="10" t="str">
        <f>T3_SKU!D143</f>
        <v>60 LTR BLUE FOT 3.5 KG</v>
      </c>
      <c r="L143" s="10" t="str">
        <f>T3_SKU!E143</f>
        <v>NOS</v>
      </c>
      <c r="M143" s="10" t="str">
        <f>T3_SKU!F143</f>
        <v>39233090</v>
      </c>
    </row>
    <row r="144" ht="15.0" customHeight="1">
      <c r="A144" s="10" t="str">
        <f>T3_SKU!A144</f>
        <v>FOTD-60-BLU-40KG</v>
      </c>
      <c r="B144" s="10" t="str">
        <f>T3_SKU!B144</f>
        <v>FOTD-60</v>
      </c>
      <c r="C144" s="10" t="str">
        <f t="array" ref="C144">IFERROR(INDEX(T2_GroupSKU!$B:$B,MATCH(B144,T2_GroupSKU!$A:$A,0)),"")</f>
        <v>FOT (Full Open Top) Drum - 60.0 LTR</v>
      </c>
      <c r="D144" s="10" t="str">
        <f t="array" ref="D144">IFERROR(INDEX(T1_ProductType!$B:$B,MATCH(INDEX(T2_GroupSKU!$C:$C,MATCH(B144,T2_GroupSKU!$A:$A,0)),T1_ProductType!$A:$A,0)),"")</f>
        <v>FOT (Full Open Top) Drum</v>
      </c>
      <c r="E144" s="10" t="str">
        <f t="array" ref="E144">IFERROR(INDEX(T1_ProductType!$C:$C,MATCH(INDEX(T2_GroupSKU!$C:$C,MATCH(B144,T2_GroupSKU!$A:$A,0)),T1_ProductType!$A:$A,0)),"")</f>
        <v>Drum</v>
      </c>
      <c r="F144" s="10" t="str">
        <f t="array" ref="F144">IFERROR(INDEX(T1_ProductType!$D:$D,MATCH(INDEX(T2_GroupSKU!$C:$C,MATCH(B144,T2_GroupSKU!$A:$A,0)),T1_ProductType!$A:$A,0)),"")</f>
        <v>Plastic Barrels</v>
      </c>
      <c r="G144" s="10" t="str">
        <f t="array" ref="G144">IFERROR(IF(INDEX(T1_ProductType!$E:$E,MATCH(INDEX(T2_GroupSKU!$C:$C,MATCH(B144,T2_GroupSKU!$A:$A,0)),T1_ProductType!$A:$A,0))="","-",INDEX(T1_ProductType!$E:$E,MATCH(INDEX(T2_GroupSKU!$C:$C,MATCH(B144,T2_GroupSKU!$A:$A,0)),T1_ProductType!$A:$A,0))),"-")</f>
        <v>Fully Open Top Drum</v>
      </c>
      <c r="H144" s="10">
        <f t="array" ref="H144">IFERROR(IF(INDEX(T2_GroupSKU!$D:$D,MATCH(B144,T2_GroupSKU!$A:$A,0))="","-",INDEX(T2_GroupSKU!$D:$D,MATCH(B144,T2_GroupSKU!$A:$A,0))),"-")</f>
        <v>60</v>
      </c>
      <c r="I144" s="10" t="str">
        <f t="array" ref="I144">IFERROR(IF(INDEX(T2_GroupSKU!$E:$E,MATCH(B144,T2_GroupSKU!$A:$A,0))="","-",INDEX(T2_GroupSKU!$E:$E,MATCH(B144,T2_GroupSKU!$A:$A,0))),"-")</f>
        <v>LTR</v>
      </c>
      <c r="J144" s="10" t="str">
        <f>T3_SKU!C144</f>
        <v>Blue / 4.0 KG</v>
      </c>
      <c r="K144" s="10" t="str">
        <f>T3_SKU!D144</f>
        <v>60 LTR BLUE FOT 4.0 KG</v>
      </c>
      <c r="L144" s="10" t="str">
        <f>T3_SKU!E144</f>
        <v>NOS</v>
      </c>
      <c r="M144" s="10" t="str">
        <f>T3_SKU!F144</f>
        <v>39233090</v>
      </c>
    </row>
    <row r="145" ht="15.0" customHeight="1">
      <c r="A145" s="10" t="str">
        <f>T3_SKU!A145</f>
        <v>FOTD-60-GRN-216KG</v>
      </c>
      <c r="B145" s="10" t="str">
        <f>T3_SKU!B145</f>
        <v>FOTD-60</v>
      </c>
      <c r="C145" s="10" t="str">
        <f t="array" ref="C145">IFERROR(INDEX(T2_GroupSKU!$B:$B,MATCH(B145,T2_GroupSKU!$A:$A,0)),"")</f>
        <v>FOT (Full Open Top) Drum - 60.0 LTR</v>
      </c>
      <c r="D145" s="10" t="str">
        <f t="array" ref="D145">IFERROR(INDEX(T1_ProductType!$B:$B,MATCH(INDEX(T2_GroupSKU!$C:$C,MATCH(B145,T2_GroupSKU!$A:$A,0)),T1_ProductType!$A:$A,0)),"")</f>
        <v>FOT (Full Open Top) Drum</v>
      </c>
      <c r="E145" s="10" t="str">
        <f t="array" ref="E145">IFERROR(INDEX(T1_ProductType!$C:$C,MATCH(INDEX(T2_GroupSKU!$C:$C,MATCH(B145,T2_GroupSKU!$A:$A,0)),T1_ProductType!$A:$A,0)),"")</f>
        <v>Drum</v>
      </c>
      <c r="F145" s="10" t="str">
        <f t="array" ref="F145">IFERROR(INDEX(T1_ProductType!$D:$D,MATCH(INDEX(T2_GroupSKU!$C:$C,MATCH(B145,T2_GroupSKU!$A:$A,0)),T1_ProductType!$A:$A,0)),"")</f>
        <v>Plastic Barrels</v>
      </c>
      <c r="G145" s="10" t="str">
        <f t="array" ref="G145">IFERROR(IF(INDEX(T1_ProductType!$E:$E,MATCH(INDEX(T2_GroupSKU!$C:$C,MATCH(B145,T2_GroupSKU!$A:$A,0)),T1_ProductType!$A:$A,0))="","-",INDEX(T1_ProductType!$E:$E,MATCH(INDEX(T2_GroupSKU!$C:$C,MATCH(B145,T2_GroupSKU!$A:$A,0)),T1_ProductType!$A:$A,0))),"-")</f>
        <v>Fully Open Top Drum</v>
      </c>
      <c r="H145" s="10">
        <f t="array" ref="H145">IFERROR(IF(INDEX(T2_GroupSKU!$D:$D,MATCH(B145,T2_GroupSKU!$A:$A,0))="","-",INDEX(T2_GroupSKU!$D:$D,MATCH(B145,T2_GroupSKU!$A:$A,0))),"-")</f>
        <v>60</v>
      </c>
      <c r="I145" s="10" t="str">
        <f t="array" ref="I145">IFERROR(IF(INDEX(T2_GroupSKU!$E:$E,MATCH(B145,T2_GroupSKU!$A:$A,0))="","-",INDEX(T2_GroupSKU!$E:$E,MATCH(B145,T2_GroupSKU!$A:$A,0))),"-")</f>
        <v>LTR</v>
      </c>
      <c r="J145" s="10" t="str">
        <f>T3_SKU!C145</f>
        <v>Green / 2.16 KG</v>
      </c>
      <c r="K145" s="10" t="str">
        <f>T3_SKU!D145</f>
        <v>60 LTR GREEN FOT 2.16 KG</v>
      </c>
      <c r="L145" s="10" t="str">
        <f>T3_SKU!E145</f>
        <v>NOS</v>
      </c>
      <c r="M145" s="10" t="str">
        <f>T3_SKU!F145</f>
        <v>39233090</v>
      </c>
    </row>
    <row r="146" ht="15.0" customHeight="1">
      <c r="A146" s="10" t="str">
        <f>T3_SKU!A146</f>
        <v>FOTD-60-GRN-30KG</v>
      </c>
      <c r="B146" s="10" t="str">
        <f>T3_SKU!B146</f>
        <v>FOTD-60</v>
      </c>
      <c r="C146" s="10" t="str">
        <f t="array" ref="C146">IFERROR(INDEX(T2_GroupSKU!$B:$B,MATCH(B146,T2_GroupSKU!$A:$A,0)),"")</f>
        <v>FOT (Full Open Top) Drum - 60.0 LTR</v>
      </c>
      <c r="D146" s="10" t="str">
        <f t="array" ref="D146">IFERROR(INDEX(T1_ProductType!$B:$B,MATCH(INDEX(T2_GroupSKU!$C:$C,MATCH(B146,T2_GroupSKU!$A:$A,0)),T1_ProductType!$A:$A,0)),"")</f>
        <v>FOT (Full Open Top) Drum</v>
      </c>
      <c r="E146" s="10" t="str">
        <f t="array" ref="E146">IFERROR(INDEX(T1_ProductType!$C:$C,MATCH(INDEX(T2_GroupSKU!$C:$C,MATCH(B146,T2_GroupSKU!$A:$A,0)),T1_ProductType!$A:$A,0)),"")</f>
        <v>Drum</v>
      </c>
      <c r="F146" s="10" t="str">
        <f t="array" ref="F146">IFERROR(INDEX(T1_ProductType!$D:$D,MATCH(INDEX(T2_GroupSKU!$C:$C,MATCH(B146,T2_GroupSKU!$A:$A,0)),T1_ProductType!$A:$A,0)),"")</f>
        <v>Plastic Barrels</v>
      </c>
      <c r="G146" s="10" t="str">
        <f t="array" ref="G146">IFERROR(IF(INDEX(T1_ProductType!$E:$E,MATCH(INDEX(T2_GroupSKU!$C:$C,MATCH(B146,T2_GroupSKU!$A:$A,0)),T1_ProductType!$A:$A,0))="","-",INDEX(T1_ProductType!$E:$E,MATCH(INDEX(T2_GroupSKU!$C:$C,MATCH(B146,T2_GroupSKU!$A:$A,0)),T1_ProductType!$A:$A,0))),"-")</f>
        <v>Fully Open Top Drum</v>
      </c>
      <c r="H146" s="10">
        <f t="array" ref="H146">IFERROR(IF(INDEX(T2_GroupSKU!$D:$D,MATCH(B146,T2_GroupSKU!$A:$A,0))="","-",INDEX(T2_GroupSKU!$D:$D,MATCH(B146,T2_GroupSKU!$A:$A,0))),"-")</f>
        <v>60</v>
      </c>
      <c r="I146" s="10" t="str">
        <f t="array" ref="I146">IFERROR(IF(INDEX(T2_GroupSKU!$E:$E,MATCH(B146,T2_GroupSKU!$A:$A,0))="","-",INDEX(T2_GroupSKU!$E:$E,MATCH(B146,T2_GroupSKU!$A:$A,0))),"-")</f>
        <v>LTR</v>
      </c>
      <c r="J146" s="10" t="str">
        <f>T3_SKU!C146</f>
        <v>Green / 3.0 KG</v>
      </c>
      <c r="K146" s="10" t="str">
        <f>T3_SKU!D146</f>
        <v>60 LTR GREEN FOT 3.0 KG</v>
      </c>
      <c r="L146" s="10" t="str">
        <f>T3_SKU!E146</f>
        <v>NOS</v>
      </c>
      <c r="M146" s="10" t="str">
        <f>T3_SKU!F146</f>
        <v>39233090</v>
      </c>
    </row>
    <row r="147" ht="15.0" customHeight="1">
      <c r="A147" s="10" t="str">
        <f>T3_SKU!A147</f>
        <v>FOTD-60-WHT-246KG</v>
      </c>
      <c r="B147" s="10" t="str">
        <f>T3_SKU!B147</f>
        <v>FOTD-60</v>
      </c>
      <c r="C147" s="10" t="str">
        <f t="array" ref="C147">IFERROR(INDEX(T2_GroupSKU!$B:$B,MATCH(B147,T2_GroupSKU!$A:$A,0)),"")</f>
        <v>FOT (Full Open Top) Drum - 60.0 LTR</v>
      </c>
      <c r="D147" s="10" t="str">
        <f t="array" ref="D147">IFERROR(INDEX(T1_ProductType!$B:$B,MATCH(INDEX(T2_GroupSKU!$C:$C,MATCH(B147,T2_GroupSKU!$A:$A,0)),T1_ProductType!$A:$A,0)),"")</f>
        <v>FOT (Full Open Top) Drum</v>
      </c>
      <c r="E147" s="10" t="str">
        <f t="array" ref="E147">IFERROR(INDEX(T1_ProductType!$C:$C,MATCH(INDEX(T2_GroupSKU!$C:$C,MATCH(B147,T2_GroupSKU!$A:$A,0)),T1_ProductType!$A:$A,0)),"")</f>
        <v>Drum</v>
      </c>
      <c r="F147" s="10" t="str">
        <f t="array" ref="F147">IFERROR(INDEX(T1_ProductType!$D:$D,MATCH(INDEX(T2_GroupSKU!$C:$C,MATCH(B147,T2_GroupSKU!$A:$A,0)),T1_ProductType!$A:$A,0)),"")</f>
        <v>Plastic Barrels</v>
      </c>
      <c r="G147" s="10" t="str">
        <f t="array" ref="G147">IFERROR(IF(INDEX(T1_ProductType!$E:$E,MATCH(INDEX(T2_GroupSKU!$C:$C,MATCH(B147,T2_GroupSKU!$A:$A,0)),T1_ProductType!$A:$A,0))="","-",INDEX(T1_ProductType!$E:$E,MATCH(INDEX(T2_GroupSKU!$C:$C,MATCH(B147,T2_GroupSKU!$A:$A,0)),T1_ProductType!$A:$A,0))),"-")</f>
        <v>Fully Open Top Drum</v>
      </c>
      <c r="H147" s="10">
        <f t="array" ref="H147">IFERROR(IF(INDEX(T2_GroupSKU!$D:$D,MATCH(B147,T2_GroupSKU!$A:$A,0))="","-",INDEX(T2_GroupSKU!$D:$D,MATCH(B147,T2_GroupSKU!$A:$A,0))),"-")</f>
        <v>60</v>
      </c>
      <c r="I147" s="10" t="str">
        <f t="array" ref="I147">IFERROR(IF(INDEX(T2_GroupSKU!$E:$E,MATCH(B147,T2_GroupSKU!$A:$A,0))="","-",INDEX(T2_GroupSKU!$E:$E,MATCH(B147,T2_GroupSKU!$A:$A,0))),"-")</f>
        <v>LTR</v>
      </c>
      <c r="J147" s="10" t="str">
        <f>T3_SKU!C147</f>
        <v>White / 2.46 KG</v>
      </c>
      <c r="K147" s="10" t="str">
        <f>T3_SKU!D147</f>
        <v>60 LTR WHITE FOT 2.460 KG</v>
      </c>
      <c r="L147" s="10" t="str">
        <f>T3_SKU!E147</f>
        <v>NOS</v>
      </c>
      <c r="M147" s="10" t="str">
        <f>T3_SKU!F147</f>
        <v>39233090</v>
      </c>
    </row>
    <row r="148" ht="15.0" customHeight="1">
      <c r="A148" s="10" t="str">
        <f>T3_SKU!A148</f>
        <v>FOTD-60-WHT-27KG</v>
      </c>
      <c r="B148" s="10" t="str">
        <f>T3_SKU!B148</f>
        <v>FOTD-60</v>
      </c>
      <c r="C148" s="10" t="str">
        <f t="array" ref="C148">IFERROR(INDEX(T2_GroupSKU!$B:$B,MATCH(B148,T2_GroupSKU!$A:$A,0)),"")</f>
        <v>FOT (Full Open Top) Drum - 60.0 LTR</v>
      </c>
      <c r="D148" s="10" t="str">
        <f t="array" ref="D148">IFERROR(INDEX(T1_ProductType!$B:$B,MATCH(INDEX(T2_GroupSKU!$C:$C,MATCH(B148,T2_GroupSKU!$A:$A,0)),T1_ProductType!$A:$A,0)),"")</f>
        <v>FOT (Full Open Top) Drum</v>
      </c>
      <c r="E148" s="10" t="str">
        <f t="array" ref="E148">IFERROR(INDEX(T1_ProductType!$C:$C,MATCH(INDEX(T2_GroupSKU!$C:$C,MATCH(B148,T2_GroupSKU!$A:$A,0)),T1_ProductType!$A:$A,0)),"")</f>
        <v>Drum</v>
      </c>
      <c r="F148" s="10" t="str">
        <f t="array" ref="F148">IFERROR(INDEX(T1_ProductType!$D:$D,MATCH(INDEX(T2_GroupSKU!$C:$C,MATCH(B148,T2_GroupSKU!$A:$A,0)),T1_ProductType!$A:$A,0)),"")</f>
        <v>Plastic Barrels</v>
      </c>
      <c r="G148" s="10" t="str">
        <f t="array" ref="G148">IFERROR(IF(INDEX(T1_ProductType!$E:$E,MATCH(INDEX(T2_GroupSKU!$C:$C,MATCH(B148,T2_GroupSKU!$A:$A,0)),T1_ProductType!$A:$A,0))="","-",INDEX(T1_ProductType!$E:$E,MATCH(INDEX(T2_GroupSKU!$C:$C,MATCH(B148,T2_GroupSKU!$A:$A,0)),T1_ProductType!$A:$A,0))),"-")</f>
        <v>Fully Open Top Drum</v>
      </c>
      <c r="H148" s="10">
        <f t="array" ref="H148">IFERROR(IF(INDEX(T2_GroupSKU!$D:$D,MATCH(B148,T2_GroupSKU!$A:$A,0))="","-",INDEX(T2_GroupSKU!$D:$D,MATCH(B148,T2_GroupSKU!$A:$A,0))),"-")</f>
        <v>60</v>
      </c>
      <c r="I148" s="10" t="str">
        <f t="array" ref="I148">IFERROR(IF(INDEX(T2_GroupSKU!$E:$E,MATCH(B148,T2_GroupSKU!$A:$A,0))="","-",INDEX(T2_GroupSKU!$E:$E,MATCH(B148,T2_GroupSKU!$A:$A,0))),"-")</f>
        <v>LTR</v>
      </c>
      <c r="J148" s="10" t="str">
        <f>T3_SKU!C148</f>
        <v>White / 2.7 KG</v>
      </c>
      <c r="K148" s="10" t="str">
        <f>T3_SKU!D148</f>
        <v>60 LTR WHITE FOT 2.7 kg</v>
      </c>
      <c r="L148" s="10" t="str">
        <f>T3_SKU!E148</f>
        <v>NOS</v>
      </c>
      <c r="M148" s="10" t="str">
        <f>T3_SKU!F148</f>
        <v>39233090</v>
      </c>
    </row>
    <row r="149" ht="15.0" customHeight="1">
      <c r="A149" s="10" t="str">
        <f>T3_SKU!A149</f>
        <v>FOTD-60-WHT-28KG</v>
      </c>
      <c r="B149" s="10" t="str">
        <f>T3_SKU!B149</f>
        <v>FOTD-60</v>
      </c>
      <c r="C149" s="10" t="str">
        <f t="array" ref="C149">IFERROR(INDEX(T2_GroupSKU!$B:$B,MATCH(B149,T2_GroupSKU!$A:$A,0)),"")</f>
        <v>FOT (Full Open Top) Drum - 60.0 LTR</v>
      </c>
      <c r="D149" s="10" t="str">
        <f t="array" ref="D149">IFERROR(INDEX(T1_ProductType!$B:$B,MATCH(INDEX(T2_GroupSKU!$C:$C,MATCH(B149,T2_GroupSKU!$A:$A,0)),T1_ProductType!$A:$A,0)),"")</f>
        <v>FOT (Full Open Top) Drum</v>
      </c>
      <c r="E149" s="10" t="str">
        <f t="array" ref="E149">IFERROR(INDEX(T1_ProductType!$C:$C,MATCH(INDEX(T2_GroupSKU!$C:$C,MATCH(B149,T2_GroupSKU!$A:$A,0)),T1_ProductType!$A:$A,0)),"")</f>
        <v>Drum</v>
      </c>
      <c r="F149" s="10" t="str">
        <f t="array" ref="F149">IFERROR(INDEX(T1_ProductType!$D:$D,MATCH(INDEX(T2_GroupSKU!$C:$C,MATCH(B149,T2_GroupSKU!$A:$A,0)),T1_ProductType!$A:$A,0)),"")</f>
        <v>Plastic Barrels</v>
      </c>
      <c r="G149" s="10" t="str">
        <f t="array" ref="G149">IFERROR(IF(INDEX(T1_ProductType!$E:$E,MATCH(INDEX(T2_GroupSKU!$C:$C,MATCH(B149,T2_GroupSKU!$A:$A,0)),T1_ProductType!$A:$A,0))="","-",INDEX(T1_ProductType!$E:$E,MATCH(INDEX(T2_GroupSKU!$C:$C,MATCH(B149,T2_GroupSKU!$A:$A,0)),T1_ProductType!$A:$A,0))),"-")</f>
        <v>Fully Open Top Drum</v>
      </c>
      <c r="H149" s="10">
        <f t="array" ref="H149">IFERROR(IF(INDEX(T2_GroupSKU!$D:$D,MATCH(B149,T2_GroupSKU!$A:$A,0))="","-",INDEX(T2_GroupSKU!$D:$D,MATCH(B149,T2_GroupSKU!$A:$A,0))),"-")</f>
        <v>60</v>
      </c>
      <c r="I149" s="10" t="str">
        <f t="array" ref="I149">IFERROR(IF(INDEX(T2_GroupSKU!$E:$E,MATCH(B149,T2_GroupSKU!$A:$A,0))="","-",INDEX(T2_GroupSKU!$E:$E,MATCH(B149,T2_GroupSKU!$A:$A,0))),"-")</f>
        <v>LTR</v>
      </c>
      <c r="J149" s="10" t="str">
        <f>T3_SKU!C149</f>
        <v>White / 2.8 KG</v>
      </c>
      <c r="K149" s="10" t="str">
        <f>T3_SKU!D149</f>
        <v>60 LTR WHITE FOT 2.8 KG</v>
      </c>
      <c r="L149" s="10" t="str">
        <f>T3_SKU!E149</f>
        <v>NOS</v>
      </c>
      <c r="M149" s="10" t="str">
        <f>T3_SKU!F149</f>
        <v>39233090</v>
      </c>
    </row>
    <row r="150" ht="15.0" customHeight="1">
      <c r="A150" s="10" t="str">
        <f>T3_SKU!A150</f>
        <v>FOTD-60-WHT-30KG</v>
      </c>
      <c r="B150" s="10" t="str">
        <f>T3_SKU!B150</f>
        <v>FOTD-60</v>
      </c>
      <c r="C150" s="10" t="str">
        <f t="array" ref="C150">IFERROR(INDEX(T2_GroupSKU!$B:$B,MATCH(B150,T2_GroupSKU!$A:$A,0)),"")</f>
        <v>FOT (Full Open Top) Drum - 60.0 LTR</v>
      </c>
      <c r="D150" s="10" t="str">
        <f t="array" ref="D150">IFERROR(INDEX(T1_ProductType!$B:$B,MATCH(INDEX(T2_GroupSKU!$C:$C,MATCH(B150,T2_GroupSKU!$A:$A,0)),T1_ProductType!$A:$A,0)),"")</f>
        <v>FOT (Full Open Top) Drum</v>
      </c>
      <c r="E150" s="10" t="str">
        <f t="array" ref="E150">IFERROR(INDEX(T1_ProductType!$C:$C,MATCH(INDEX(T2_GroupSKU!$C:$C,MATCH(B150,T2_GroupSKU!$A:$A,0)),T1_ProductType!$A:$A,0)),"")</f>
        <v>Drum</v>
      </c>
      <c r="F150" s="10" t="str">
        <f t="array" ref="F150">IFERROR(INDEX(T1_ProductType!$D:$D,MATCH(INDEX(T2_GroupSKU!$C:$C,MATCH(B150,T2_GroupSKU!$A:$A,0)),T1_ProductType!$A:$A,0)),"")</f>
        <v>Plastic Barrels</v>
      </c>
      <c r="G150" s="10" t="str">
        <f t="array" ref="G150">IFERROR(IF(INDEX(T1_ProductType!$E:$E,MATCH(INDEX(T2_GroupSKU!$C:$C,MATCH(B150,T2_GroupSKU!$A:$A,0)),T1_ProductType!$A:$A,0))="","-",INDEX(T1_ProductType!$E:$E,MATCH(INDEX(T2_GroupSKU!$C:$C,MATCH(B150,T2_GroupSKU!$A:$A,0)),T1_ProductType!$A:$A,0))),"-")</f>
        <v>Fully Open Top Drum</v>
      </c>
      <c r="H150" s="10">
        <f t="array" ref="H150">IFERROR(IF(INDEX(T2_GroupSKU!$D:$D,MATCH(B150,T2_GroupSKU!$A:$A,0))="","-",INDEX(T2_GroupSKU!$D:$D,MATCH(B150,T2_GroupSKU!$A:$A,0))),"-")</f>
        <v>60</v>
      </c>
      <c r="I150" s="10" t="str">
        <f t="array" ref="I150">IFERROR(IF(INDEX(T2_GroupSKU!$E:$E,MATCH(B150,T2_GroupSKU!$A:$A,0))="","-",INDEX(T2_GroupSKU!$E:$E,MATCH(B150,T2_GroupSKU!$A:$A,0))),"-")</f>
        <v>LTR</v>
      </c>
      <c r="J150" s="10" t="str">
        <f>T3_SKU!C150</f>
        <v>White / 3.0 KG</v>
      </c>
      <c r="K150" s="10" t="str">
        <f>T3_SKU!D150</f>
        <v>60 LTR WHITE FOT 3.0 kg</v>
      </c>
      <c r="L150" s="10" t="str">
        <f>T3_SKU!E150</f>
        <v>NOS</v>
      </c>
      <c r="M150" s="10" t="str">
        <f>T3_SKU!F150</f>
        <v>39233090</v>
      </c>
    </row>
    <row r="151" ht="15.0" customHeight="1">
      <c r="A151" s="10" t="str">
        <f>T3_SKU!A151</f>
        <v>FOTLOCK-V161</v>
      </c>
      <c r="B151" s="10" t="str">
        <f>T3_SKU!B151</f>
        <v>FOTLOCK</v>
      </c>
      <c r="C151" s="10" t="str">
        <f t="array" ref="C151">IFERROR(INDEX(T2_GroupSKU!$B:$B,MATCH(B151,T2_GroupSKU!$A:$A,0)),"")</f>
        <v>FOT Lock</v>
      </c>
      <c r="D151" s="10" t="str">
        <f t="array" ref="D151">IFERROR(INDEX(T1_ProductType!$B:$B,MATCH(INDEX(T2_GroupSKU!$C:$C,MATCH(B151,T2_GroupSKU!$A:$A,0)),T1_ProductType!$A:$A,0)),"")</f>
        <v>FOT Lock</v>
      </c>
      <c r="E151" s="10" t="str">
        <f t="array" ref="E151">IFERROR(INDEX(T1_ProductType!$C:$C,MATCH(INDEX(T2_GroupSKU!$C:$C,MATCH(B151,T2_GroupSKU!$A:$A,0)),T1_ProductType!$A:$A,0)),"")</f>
        <v>Accessory</v>
      </c>
      <c r="F151" s="10" t="str">
        <f t="array" ref="F151">IFERROR(INDEX(T1_ProductType!$D:$D,MATCH(INDEX(T2_GroupSKU!$C:$C,MATCH(B151,T2_GroupSKU!$A:$A,0)),T1_ProductType!$A:$A,0)),"")</f>
        <v>Plastic Barrels</v>
      </c>
      <c r="G151" s="10" t="str">
        <f t="array" ref="G151">IFERROR(IF(INDEX(T1_ProductType!$E:$E,MATCH(INDEX(T2_GroupSKU!$C:$C,MATCH(B151,T2_GroupSKU!$A:$A,0)),T1_ProductType!$A:$A,0))="","-",INDEX(T1_ProductType!$E:$E,MATCH(INDEX(T2_GroupSKU!$C:$C,MATCH(B151,T2_GroupSKU!$A:$A,0)),T1_ProductType!$A:$A,0))),"-")</f>
        <v>-</v>
      </c>
      <c r="H151" s="10" t="str">
        <f t="array" ref="H151">IFERROR(IF(INDEX(T2_GroupSKU!$D:$D,MATCH(B151,T2_GroupSKU!$A:$A,0))="","-",INDEX(T2_GroupSKU!$D:$D,MATCH(B151,T2_GroupSKU!$A:$A,0))),"-")</f>
        <v>-</v>
      </c>
      <c r="I151" s="10" t="str">
        <f t="array" ref="I151">IFERROR(IF(INDEX(T2_GroupSKU!$E:$E,MATCH(B151,T2_GroupSKU!$A:$A,0))="","-",INDEX(T2_GroupSKU!$E:$E,MATCH(B151,T2_GroupSKU!$A:$A,0))),"-")</f>
        <v>-</v>
      </c>
      <c r="J151" s="10" t="str">
        <f>T3_SKU!C151</f>
        <v>FOT LOCK</v>
      </c>
      <c r="K151" s="10" t="str">
        <f>T3_SKU!D151</f>
        <v>FOT LOCK</v>
      </c>
      <c r="L151" s="10" t="str">
        <f>T3_SKU!E151</f>
        <v>NOS</v>
      </c>
      <c r="M151" s="10" t="str">
        <f>T3_SKU!F151</f>
        <v>39235010</v>
      </c>
    </row>
    <row r="152" ht="15.0" customHeight="1">
      <c r="A152" s="10" t="str">
        <f>T3_SKU!A152</f>
        <v>FOTPLRING-BLK</v>
      </c>
      <c r="B152" s="10" t="str">
        <f>T3_SKU!B152</f>
        <v>FOTPLRING</v>
      </c>
      <c r="C152" s="10" t="str">
        <f t="array" ref="C152">IFERROR(INDEX(T2_GroupSKU!$B:$B,MATCH(B152,T2_GroupSKU!$A:$A,0)),"")</f>
        <v>FOT Plastic Ring</v>
      </c>
      <c r="D152" s="10" t="str">
        <f t="array" ref="D152">IFERROR(INDEX(T1_ProductType!$B:$B,MATCH(INDEX(T2_GroupSKU!$C:$C,MATCH(B152,T2_GroupSKU!$A:$A,0)),T1_ProductType!$A:$A,0)),"")</f>
        <v>FOT Plastic Ring</v>
      </c>
      <c r="E152" s="10" t="str">
        <f t="array" ref="E152">IFERROR(INDEX(T1_ProductType!$C:$C,MATCH(INDEX(T2_GroupSKU!$C:$C,MATCH(B152,T2_GroupSKU!$A:$A,0)),T1_ProductType!$A:$A,0)),"")</f>
        <v>Accessory</v>
      </c>
      <c r="F152" s="10" t="str">
        <f t="array" ref="F152">IFERROR(INDEX(T1_ProductType!$D:$D,MATCH(INDEX(T2_GroupSKU!$C:$C,MATCH(B152,T2_GroupSKU!$A:$A,0)),T1_ProductType!$A:$A,0)),"")</f>
        <v>Plastic Barrels</v>
      </c>
      <c r="G152" s="10" t="str">
        <f t="array" ref="G152">IFERROR(IF(INDEX(T1_ProductType!$E:$E,MATCH(INDEX(T2_GroupSKU!$C:$C,MATCH(B152,T2_GroupSKU!$A:$A,0)),T1_ProductType!$A:$A,0))="","-",INDEX(T1_ProductType!$E:$E,MATCH(INDEX(T2_GroupSKU!$C:$C,MATCH(B152,T2_GroupSKU!$A:$A,0)),T1_ProductType!$A:$A,0))),"-")</f>
        <v>-</v>
      </c>
      <c r="H152" s="10">
        <f t="array" ref="H152">IFERROR(IF(INDEX(T2_GroupSKU!$D:$D,MATCH(B152,T2_GroupSKU!$A:$A,0))="","-",INDEX(T2_GroupSKU!$D:$D,MATCH(B152,T2_GroupSKU!$A:$A,0))),"-")</f>
        <v>10</v>
      </c>
      <c r="I152" s="10" t="str">
        <f t="array" ref="I152">IFERROR(IF(INDEX(T2_GroupSKU!$E:$E,MATCH(B152,T2_GroupSKU!$A:$A,0))="","-",INDEX(T2_GroupSKU!$E:$E,MATCH(B152,T2_GroupSKU!$A:$A,0))),"-")</f>
        <v>INCH</v>
      </c>
      <c r="J152" s="10" t="str">
        <f>T3_SKU!C152</f>
        <v>Black</v>
      </c>
      <c r="K152" s="10" t="str">
        <f>T3_SKU!D152</f>
        <v>10" FOT PLASTIC RING BLACK</v>
      </c>
      <c r="L152" s="10" t="str">
        <f>T3_SKU!E152</f>
        <v>NOS</v>
      </c>
      <c r="M152" s="10" t="str">
        <f>T3_SKU!F152</f>
        <v>39235010</v>
      </c>
    </row>
    <row r="153" ht="15.0" customHeight="1">
      <c r="A153" s="10" t="str">
        <f>T3_SKU!A153</f>
        <v>FOTRBRING-V77</v>
      </c>
      <c r="B153" s="10" t="str">
        <f>T3_SKU!B153</f>
        <v>FOTRBRING</v>
      </c>
      <c r="C153" s="10" t="str">
        <f t="array" ref="C153">IFERROR(INDEX(T2_GroupSKU!$B:$B,MATCH(B153,T2_GroupSKU!$A:$A,0)),"")</f>
        <v>FOT Rubber Ring</v>
      </c>
      <c r="D153" s="10" t="str">
        <f t="array" ref="D153">IFERROR(INDEX(T1_ProductType!$B:$B,MATCH(INDEX(T2_GroupSKU!$C:$C,MATCH(B153,T2_GroupSKU!$A:$A,0)),T1_ProductType!$A:$A,0)),"")</f>
        <v>FOT Rubber Ring</v>
      </c>
      <c r="E153" s="10" t="str">
        <f t="array" ref="E153">IFERROR(INDEX(T1_ProductType!$C:$C,MATCH(INDEX(T2_GroupSKU!$C:$C,MATCH(B153,T2_GroupSKU!$A:$A,0)),T1_ProductType!$A:$A,0)),"")</f>
        <v>Accessory</v>
      </c>
      <c r="F153" s="10" t="str">
        <f t="array" ref="F153">IFERROR(INDEX(T1_ProductType!$D:$D,MATCH(INDEX(T2_GroupSKU!$C:$C,MATCH(B153,T2_GroupSKU!$A:$A,0)),T1_ProductType!$A:$A,0)),"")</f>
        <v>Plastic Barrels</v>
      </c>
      <c r="G153" s="10" t="str">
        <f t="array" ref="G153">IFERROR(IF(INDEX(T1_ProductType!$E:$E,MATCH(INDEX(T2_GroupSKU!$C:$C,MATCH(B153,T2_GroupSKU!$A:$A,0)),T1_ProductType!$A:$A,0))="","-",INDEX(T1_ProductType!$E:$E,MATCH(INDEX(T2_GroupSKU!$C:$C,MATCH(B153,T2_GroupSKU!$A:$A,0)),T1_ProductType!$A:$A,0))),"-")</f>
        <v>-</v>
      </c>
      <c r="H153" s="10">
        <f t="array" ref="H153">IFERROR(IF(INDEX(T2_GroupSKU!$D:$D,MATCH(B153,T2_GroupSKU!$A:$A,0))="","-",INDEX(T2_GroupSKU!$D:$D,MATCH(B153,T2_GroupSKU!$A:$A,0))),"-")</f>
        <v>10</v>
      </c>
      <c r="I153" s="10" t="str">
        <f t="array" ref="I153">IFERROR(IF(INDEX(T2_GroupSKU!$E:$E,MATCH(B153,T2_GroupSKU!$A:$A,0))="","-",INDEX(T2_GroupSKU!$E:$E,MATCH(B153,T2_GroupSKU!$A:$A,0))),"-")</f>
        <v>INCH</v>
      </c>
      <c r="J153" s="10" t="str">
        <f>T3_SKU!C153</f>
        <v>10" FOT RUBBER RING</v>
      </c>
      <c r="K153" s="10" t="str">
        <f>T3_SKU!D153</f>
        <v>10" FOT RUBBER RING</v>
      </c>
      <c r="L153" s="10" t="str">
        <f>T3_SKU!E153</f>
        <v>NOS</v>
      </c>
      <c r="M153" s="10" t="str">
        <f>T3_SKU!F153</f>
        <v>40169340</v>
      </c>
    </row>
    <row r="154" ht="15.0" customHeight="1">
      <c r="A154" s="10" t="str">
        <f>T3_SKU!A154</f>
        <v>FOTRBRING-WHT</v>
      </c>
      <c r="B154" s="10" t="str">
        <f>T3_SKU!B154</f>
        <v>FOTRBRING</v>
      </c>
      <c r="C154" s="10" t="str">
        <f t="array" ref="C154">IFERROR(INDEX(T2_GroupSKU!$B:$B,MATCH(B154,T2_GroupSKU!$A:$A,0)),"")</f>
        <v>FOT Rubber Ring</v>
      </c>
      <c r="D154" s="10" t="str">
        <f t="array" ref="D154">IFERROR(INDEX(T1_ProductType!$B:$B,MATCH(INDEX(T2_GroupSKU!$C:$C,MATCH(B154,T2_GroupSKU!$A:$A,0)),T1_ProductType!$A:$A,0)),"")</f>
        <v>FOT Rubber Ring</v>
      </c>
      <c r="E154" s="10" t="str">
        <f t="array" ref="E154">IFERROR(INDEX(T1_ProductType!$C:$C,MATCH(INDEX(T2_GroupSKU!$C:$C,MATCH(B154,T2_GroupSKU!$A:$A,0)),T1_ProductType!$A:$A,0)),"")</f>
        <v>Accessory</v>
      </c>
      <c r="F154" s="10" t="str">
        <f t="array" ref="F154">IFERROR(INDEX(T1_ProductType!$D:$D,MATCH(INDEX(T2_GroupSKU!$C:$C,MATCH(B154,T2_GroupSKU!$A:$A,0)),T1_ProductType!$A:$A,0)),"")</f>
        <v>Plastic Barrels</v>
      </c>
      <c r="G154" s="10" t="str">
        <f t="array" ref="G154">IFERROR(IF(INDEX(T1_ProductType!$E:$E,MATCH(INDEX(T2_GroupSKU!$C:$C,MATCH(B154,T2_GroupSKU!$A:$A,0)),T1_ProductType!$A:$A,0))="","-",INDEX(T1_ProductType!$E:$E,MATCH(INDEX(T2_GroupSKU!$C:$C,MATCH(B154,T2_GroupSKU!$A:$A,0)),T1_ProductType!$A:$A,0))),"-")</f>
        <v>-</v>
      </c>
      <c r="H154" s="10">
        <f t="array" ref="H154">IFERROR(IF(INDEX(T2_GroupSKU!$D:$D,MATCH(B154,T2_GroupSKU!$A:$A,0))="","-",INDEX(T2_GroupSKU!$D:$D,MATCH(B154,T2_GroupSKU!$A:$A,0))),"-")</f>
        <v>10</v>
      </c>
      <c r="I154" s="10" t="str">
        <f t="array" ref="I154">IFERROR(IF(INDEX(T2_GroupSKU!$E:$E,MATCH(B154,T2_GroupSKU!$A:$A,0))="","-",INDEX(T2_GroupSKU!$E:$E,MATCH(B154,T2_GroupSKU!$A:$A,0))),"-")</f>
        <v>INCH</v>
      </c>
      <c r="J154" s="10" t="str">
        <f>T3_SKU!C154</f>
        <v>White</v>
      </c>
      <c r="K154" s="10" t="str">
        <f>T3_SKU!D154</f>
        <v>10" FOT RUBBER RING- WHITE</v>
      </c>
      <c r="L154" s="10" t="str">
        <f>T3_SKU!E154</f>
        <v>NOS</v>
      </c>
      <c r="M154" s="10" t="str">
        <f>T3_SKU!F154</f>
        <v>40169340</v>
      </c>
    </row>
    <row r="155" ht="15.0" customHeight="1">
      <c r="A155" s="10" t="str">
        <f>T3_SKU!A155</f>
        <v>HDL-BLK</v>
      </c>
      <c r="B155" s="10" t="str">
        <f>T3_SKU!B155</f>
        <v>HDL</v>
      </c>
      <c r="C155" s="10" t="str">
        <f t="array" ref="C155">IFERROR(INDEX(T2_GroupSKU!$B:$B,MATCH(B155,T2_GroupSKU!$A:$A,0)),"")</f>
        <v>Handle</v>
      </c>
      <c r="D155" s="10" t="str">
        <f t="array" ref="D155">IFERROR(INDEX(T1_ProductType!$B:$B,MATCH(INDEX(T2_GroupSKU!$C:$C,MATCH(B155,T2_GroupSKU!$A:$A,0)),T1_ProductType!$A:$A,0)),"")</f>
        <v>Handle</v>
      </c>
      <c r="E155" s="10" t="str">
        <f t="array" ref="E155">IFERROR(INDEX(T1_ProductType!$C:$C,MATCH(INDEX(T2_GroupSKU!$C:$C,MATCH(B155,T2_GroupSKU!$A:$A,0)),T1_ProductType!$A:$A,0)),"")</f>
        <v>Accessory</v>
      </c>
      <c r="F155" s="10" t="str">
        <f t="array" ref="F155">IFERROR(INDEX(T1_ProductType!$D:$D,MATCH(INDEX(T2_GroupSKU!$C:$C,MATCH(B155,T2_GroupSKU!$A:$A,0)),T1_ProductType!$A:$A,0)),"")</f>
        <v>Plastic Barrels</v>
      </c>
      <c r="G155" s="10" t="str">
        <f t="array" ref="G155">IFERROR(IF(INDEX(T1_ProductType!$E:$E,MATCH(INDEX(T2_GroupSKU!$C:$C,MATCH(B155,T2_GroupSKU!$A:$A,0)),T1_ProductType!$A:$A,0))="","-",INDEX(T1_ProductType!$E:$E,MATCH(INDEX(T2_GroupSKU!$C:$C,MATCH(B155,T2_GroupSKU!$A:$A,0)),T1_ProductType!$A:$A,0))),"-")</f>
        <v>-</v>
      </c>
      <c r="H155" s="10" t="str">
        <f t="array" ref="H155">IFERROR(IF(INDEX(T2_GroupSKU!$D:$D,MATCH(B155,T2_GroupSKU!$A:$A,0))="","-",INDEX(T2_GroupSKU!$D:$D,MATCH(B155,T2_GroupSKU!$A:$A,0))),"-")</f>
        <v>-</v>
      </c>
      <c r="I155" s="10" t="str">
        <f t="array" ref="I155">IFERROR(IF(INDEX(T2_GroupSKU!$E:$E,MATCH(B155,T2_GroupSKU!$A:$A,0))="","-",INDEX(T2_GroupSKU!$E:$E,MATCH(B155,T2_GroupSKU!$A:$A,0))),"-")</f>
        <v>-</v>
      </c>
      <c r="J155" s="10" t="str">
        <f>T3_SKU!C155</f>
        <v>Black</v>
      </c>
      <c r="K155" s="10" t="str">
        <f>T3_SKU!D155</f>
        <v>HANDLE BLACK</v>
      </c>
      <c r="L155" s="10" t="str">
        <f>T3_SKU!E155</f>
        <v>NOS</v>
      </c>
      <c r="M155" s="10" t="str">
        <f>T3_SKU!F155</f>
        <v>39235010</v>
      </c>
    </row>
    <row r="156" ht="15.0" customHeight="1">
      <c r="A156" s="10" t="str">
        <f>T3_SKU!A156</f>
        <v>HDL-BLU</v>
      </c>
      <c r="B156" s="10" t="str">
        <f>T3_SKU!B156</f>
        <v>HDL</v>
      </c>
      <c r="C156" s="10" t="str">
        <f t="array" ref="C156">IFERROR(INDEX(T2_GroupSKU!$B:$B,MATCH(B156,T2_GroupSKU!$A:$A,0)),"")</f>
        <v>Handle</v>
      </c>
      <c r="D156" s="10" t="str">
        <f t="array" ref="D156">IFERROR(INDEX(T1_ProductType!$B:$B,MATCH(INDEX(T2_GroupSKU!$C:$C,MATCH(B156,T2_GroupSKU!$A:$A,0)),T1_ProductType!$A:$A,0)),"")</f>
        <v>Handle</v>
      </c>
      <c r="E156" s="10" t="str">
        <f t="array" ref="E156">IFERROR(INDEX(T1_ProductType!$C:$C,MATCH(INDEX(T2_GroupSKU!$C:$C,MATCH(B156,T2_GroupSKU!$A:$A,0)),T1_ProductType!$A:$A,0)),"")</f>
        <v>Accessory</v>
      </c>
      <c r="F156" s="10" t="str">
        <f t="array" ref="F156">IFERROR(INDEX(T1_ProductType!$D:$D,MATCH(INDEX(T2_GroupSKU!$C:$C,MATCH(B156,T2_GroupSKU!$A:$A,0)),T1_ProductType!$A:$A,0)),"")</f>
        <v>Plastic Barrels</v>
      </c>
      <c r="G156" s="10" t="str">
        <f t="array" ref="G156">IFERROR(IF(INDEX(T1_ProductType!$E:$E,MATCH(INDEX(T2_GroupSKU!$C:$C,MATCH(B156,T2_GroupSKU!$A:$A,0)),T1_ProductType!$A:$A,0))="","-",INDEX(T1_ProductType!$E:$E,MATCH(INDEX(T2_GroupSKU!$C:$C,MATCH(B156,T2_GroupSKU!$A:$A,0)),T1_ProductType!$A:$A,0))),"-")</f>
        <v>-</v>
      </c>
      <c r="H156" s="10" t="str">
        <f t="array" ref="H156">IFERROR(IF(INDEX(T2_GroupSKU!$D:$D,MATCH(B156,T2_GroupSKU!$A:$A,0))="","-",INDEX(T2_GroupSKU!$D:$D,MATCH(B156,T2_GroupSKU!$A:$A,0))),"-")</f>
        <v>-</v>
      </c>
      <c r="I156" s="10" t="str">
        <f t="array" ref="I156">IFERROR(IF(INDEX(T2_GroupSKU!$E:$E,MATCH(B156,T2_GroupSKU!$A:$A,0))="","-",INDEX(T2_GroupSKU!$E:$E,MATCH(B156,T2_GroupSKU!$A:$A,0))),"-")</f>
        <v>-</v>
      </c>
      <c r="J156" s="10" t="str">
        <f>T3_SKU!C156</f>
        <v>Blue</v>
      </c>
      <c r="K156" s="10" t="str">
        <f>T3_SKU!D156</f>
        <v>HANDLE BLUE</v>
      </c>
      <c r="L156" s="10" t="str">
        <f>T3_SKU!E156</f>
        <v>NOS</v>
      </c>
      <c r="M156" s="10" t="str">
        <f>T3_SKU!F156</f>
        <v>39235010</v>
      </c>
    </row>
    <row r="157" ht="15.0" customHeight="1">
      <c r="A157" s="10" t="str">
        <f>T3_SKU!A157</f>
        <v>HDL-BRN</v>
      </c>
      <c r="B157" s="10" t="str">
        <f>T3_SKU!B157</f>
        <v>HDL</v>
      </c>
      <c r="C157" s="10" t="str">
        <f t="array" ref="C157">IFERROR(INDEX(T2_GroupSKU!$B:$B,MATCH(B157,T2_GroupSKU!$A:$A,0)),"")</f>
        <v>Handle</v>
      </c>
      <c r="D157" s="10" t="str">
        <f t="array" ref="D157">IFERROR(INDEX(T1_ProductType!$B:$B,MATCH(INDEX(T2_GroupSKU!$C:$C,MATCH(B157,T2_GroupSKU!$A:$A,0)),T1_ProductType!$A:$A,0)),"")</f>
        <v>Handle</v>
      </c>
      <c r="E157" s="10" t="str">
        <f t="array" ref="E157">IFERROR(INDEX(T1_ProductType!$C:$C,MATCH(INDEX(T2_GroupSKU!$C:$C,MATCH(B157,T2_GroupSKU!$A:$A,0)),T1_ProductType!$A:$A,0)),"")</f>
        <v>Accessory</v>
      </c>
      <c r="F157" s="10" t="str">
        <f t="array" ref="F157">IFERROR(INDEX(T1_ProductType!$D:$D,MATCH(INDEX(T2_GroupSKU!$C:$C,MATCH(B157,T2_GroupSKU!$A:$A,0)),T1_ProductType!$A:$A,0)),"")</f>
        <v>Plastic Barrels</v>
      </c>
      <c r="G157" s="10" t="str">
        <f t="array" ref="G157">IFERROR(IF(INDEX(T1_ProductType!$E:$E,MATCH(INDEX(T2_GroupSKU!$C:$C,MATCH(B157,T2_GroupSKU!$A:$A,0)),T1_ProductType!$A:$A,0))="","-",INDEX(T1_ProductType!$E:$E,MATCH(INDEX(T2_GroupSKU!$C:$C,MATCH(B157,T2_GroupSKU!$A:$A,0)),T1_ProductType!$A:$A,0))),"-")</f>
        <v>-</v>
      </c>
      <c r="H157" s="10" t="str">
        <f t="array" ref="H157">IFERROR(IF(INDEX(T2_GroupSKU!$D:$D,MATCH(B157,T2_GroupSKU!$A:$A,0))="","-",INDEX(T2_GroupSKU!$D:$D,MATCH(B157,T2_GroupSKU!$A:$A,0))),"-")</f>
        <v>-</v>
      </c>
      <c r="I157" s="10" t="str">
        <f t="array" ref="I157">IFERROR(IF(INDEX(T2_GroupSKU!$E:$E,MATCH(B157,T2_GroupSKU!$A:$A,0))="","-",INDEX(T2_GroupSKU!$E:$E,MATCH(B157,T2_GroupSKU!$A:$A,0))),"-")</f>
        <v>-</v>
      </c>
      <c r="J157" s="10" t="str">
        <f>T3_SKU!C157</f>
        <v>Brown</v>
      </c>
      <c r="K157" s="10" t="str">
        <f>T3_SKU!D157</f>
        <v>HANDLE BROWN</v>
      </c>
      <c r="L157" s="10" t="str">
        <f>T3_SKU!E157</f>
        <v>NOS</v>
      </c>
      <c r="M157" s="10" t="str">
        <f>T3_SKU!F157</f>
        <v>39235010</v>
      </c>
    </row>
    <row r="158" ht="15.0" customHeight="1">
      <c r="A158" s="10" t="str">
        <f>T3_SKU!A158</f>
        <v>HDL-GRN</v>
      </c>
      <c r="B158" s="10" t="str">
        <f>T3_SKU!B158</f>
        <v>HDL</v>
      </c>
      <c r="C158" s="10" t="str">
        <f t="array" ref="C158">IFERROR(INDEX(T2_GroupSKU!$B:$B,MATCH(B158,T2_GroupSKU!$A:$A,0)),"")</f>
        <v>Handle</v>
      </c>
      <c r="D158" s="10" t="str">
        <f t="array" ref="D158">IFERROR(INDEX(T1_ProductType!$B:$B,MATCH(INDEX(T2_GroupSKU!$C:$C,MATCH(B158,T2_GroupSKU!$A:$A,0)),T1_ProductType!$A:$A,0)),"")</f>
        <v>Handle</v>
      </c>
      <c r="E158" s="10" t="str">
        <f t="array" ref="E158">IFERROR(INDEX(T1_ProductType!$C:$C,MATCH(INDEX(T2_GroupSKU!$C:$C,MATCH(B158,T2_GroupSKU!$A:$A,0)),T1_ProductType!$A:$A,0)),"")</f>
        <v>Accessory</v>
      </c>
      <c r="F158" s="10" t="str">
        <f t="array" ref="F158">IFERROR(INDEX(T1_ProductType!$D:$D,MATCH(INDEX(T2_GroupSKU!$C:$C,MATCH(B158,T2_GroupSKU!$A:$A,0)),T1_ProductType!$A:$A,0)),"")</f>
        <v>Plastic Barrels</v>
      </c>
      <c r="G158" s="10" t="str">
        <f t="array" ref="G158">IFERROR(IF(INDEX(T1_ProductType!$E:$E,MATCH(INDEX(T2_GroupSKU!$C:$C,MATCH(B158,T2_GroupSKU!$A:$A,0)),T1_ProductType!$A:$A,0))="","-",INDEX(T1_ProductType!$E:$E,MATCH(INDEX(T2_GroupSKU!$C:$C,MATCH(B158,T2_GroupSKU!$A:$A,0)),T1_ProductType!$A:$A,0))),"-")</f>
        <v>-</v>
      </c>
      <c r="H158" s="10" t="str">
        <f t="array" ref="H158">IFERROR(IF(INDEX(T2_GroupSKU!$D:$D,MATCH(B158,T2_GroupSKU!$A:$A,0))="","-",INDEX(T2_GroupSKU!$D:$D,MATCH(B158,T2_GroupSKU!$A:$A,0))),"-")</f>
        <v>-</v>
      </c>
      <c r="I158" s="10" t="str">
        <f t="array" ref="I158">IFERROR(IF(INDEX(T2_GroupSKU!$E:$E,MATCH(B158,T2_GroupSKU!$A:$A,0))="","-",INDEX(T2_GroupSKU!$E:$E,MATCH(B158,T2_GroupSKU!$A:$A,0))),"-")</f>
        <v>-</v>
      </c>
      <c r="J158" s="10" t="str">
        <f>T3_SKU!C158</f>
        <v>Green</v>
      </c>
      <c r="K158" s="10" t="str">
        <f>T3_SKU!D158</f>
        <v>HANDLE GREEN</v>
      </c>
      <c r="L158" s="10" t="str">
        <f>T3_SKU!E158</f>
        <v>NOS</v>
      </c>
      <c r="M158" s="10" t="str">
        <f>T3_SKU!F158</f>
        <v>39235010</v>
      </c>
    </row>
    <row r="159" ht="15.0" customHeight="1">
      <c r="A159" s="10" t="str">
        <f>T3_SKU!A159</f>
        <v>HDL-RED</v>
      </c>
      <c r="B159" s="10" t="str">
        <f>T3_SKU!B159</f>
        <v>HDL</v>
      </c>
      <c r="C159" s="10" t="str">
        <f t="array" ref="C159">IFERROR(INDEX(T2_GroupSKU!$B:$B,MATCH(B159,T2_GroupSKU!$A:$A,0)),"")</f>
        <v>Handle</v>
      </c>
      <c r="D159" s="10" t="str">
        <f t="array" ref="D159">IFERROR(INDEX(T1_ProductType!$B:$B,MATCH(INDEX(T2_GroupSKU!$C:$C,MATCH(B159,T2_GroupSKU!$A:$A,0)),T1_ProductType!$A:$A,0)),"")</f>
        <v>Handle</v>
      </c>
      <c r="E159" s="10" t="str">
        <f t="array" ref="E159">IFERROR(INDEX(T1_ProductType!$C:$C,MATCH(INDEX(T2_GroupSKU!$C:$C,MATCH(B159,T2_GroupSKU!$A:$A,0)),T1_ProductType!$A:$A,0)),"")</f>
        <v>Accessory</v>
      </c>
      <c r="F159" s="10" t="str">
        <f t="array" ref="F159">IFERROR(INDEX(T1_ProductType!$D:$D,MATCH(INDEX(T2_GroupSKU!$C:$C,MATCH(B159,T2_GroupSKU!$A:$A,0)),T1_ProductType!$A:$A,0)),"")</f>
        <v>Plastic Barrels</v>
      </c>
      <c r="G159" s="10" t="str">
        <f t="array" ref="G159">IFERROR(IF(INDEX(T1_ProductType!$E:$E,MATCH(INDEX(T2_GroupSKU!$C:$C,MATCH(B159,T2_GroupSKU!$A:$A,0)),T1_ProductType!$A:$A,0))="","-",INDEX(T1_ProductType!$E:$E,MATCH(INDEX(T2_GroupSKU!$C:$C,MATCH(B159,T2_GroupSKU!$A:$A,0)),T1_ProductType!$A:$A,0))),"-")</f>
        <v>-</v>
      </c>
      <c r="H159" s="10" t="str">
        <f t="array" ref="H159">IFERROR(IF(INDEX(T2_GroupSKU!$D:$D,MATCH(B159,T2_GroupSKU!$A:$A,0))="","-",INDEX(T2_GroupSKU!$D:$D,MATCH(B159,T2_GroupSKU!$A:$A,0))),"-")</f>
        <v>-</v>
      </c>
      <c r="I159" s="10" t="str">
        <f t="array" ref="I159">IFERROR(IF(INDEX(T2_GroupSKU!$E:$E,MATCH(B159,T2_GroupSKU!$A:$A,0))="","-",INDEX(T2_GroupSKU!$E:$E,MATCH(B159,T2_GroupSKU!$A:$A,0))),"-")</f>
        <v>-</v>
      </c>
      <c r="J159" s="10" t="str">
        <f>T3_SKU!C159</f>
        <v>Red</v>
      </c>
      <c r="K159" s="10" t="str">
        <f>T3_SKU!D159</f>
        <v>HANDLE RED</v>
      </c>
      <c r="L159" s="10" t="str">
        <f>T3_SKU!E159</f>
        <v>NOS</v>
      </c>
      <c r="M159" s="10" t="str">
        <f>T3_SKU!F159</f>
        <v>39235010</v>
      </c>
    </row>
    <row r="160" ht="15.0" customHeight="1">
      <c r="A160" s="10" t="str">
        <f>T3_SKU!A160</f>
        <v>HDL-YEL</v>
      </c>
      <c r="B160" s="10" t="str">
        <f>T3_SKU!B160</f>
        <v>HDL</v>
      </c>
      <c r="C160" s="10" t="str">
        <f t="array" ref="C160">IFERROR(INDEX(T2_GroupSKU!$B:$B,MATCH(B160,T2_GroupSKU!$A:$A,0)),"")</f>
        <v>Handle</v>
      </c>
      <c r="D160" s="10" t="str">
        <f t="array" ref="D160">IFERROR(INDEX(T1_ProductType!$B:$B,MATCH(INDEX(T2_GroupSKU!$C:$C,MATCH(B160,T2_GroupSKU!$A:$A,0)),T1_ProductType!$A:$A,0)),"")</f>
        <v>Handle</v>
      </c>
      <c r="E160" s="10" t="str">
        <f t="array" ref="E160">IFERROR(INDEX(T1_ProductType!$C:$C,MATCH(INDEX(T2_GroupSKU!$C:$C,MATCH(B160,T2_GroupSKU!$A:$A,0)),T1_ProductType!$A:$A,0)),"")</f>
        <v>Accessory</v>
      </c>
      <c r="F160" s="10" t="str">
        <f t="array" ref="F160">IFERROR(INDEX(T1_ProductType!$D:$D,MATCH(INDEX(T2_GroupSKU!$C:$C,MATCH(B160,T2_GroupSKU!$A:$A,0)),T1_ProductType!$A:$A,0)),"")</f>
        <v>Plastic Barrels</v>
      </c>
      <c r="G160" s="10" t="str">
        <f t="array" ref="G160">IFERROR(IF(INDEX(T1_ProductType!$E:$E,MATCH(INDEX(T2_GroupSKU!$C:$C,MATCH(B160,T2_GroupSKU!$A:$A,0)),T1_ProductType!$A:$A,0))="","-",INDEX(T1_ProductType!$E:$E,MATCH(INDEX(T2_GroupSKU!$C:$C,MATCH(B160,T2_GroupSKU!$A:$A,0)),T1_ProductType!$A:$A,0))),"-")</f>
        <v>-</v>
      </c>
      <c r="H160" s="10" t="str">
        <f t="array" ref="H160">IFERROR(IF(INDEX(T2_GroupSKU!$D:$D,MATCH(B160,T2_GroupSKU!$A:$A,0))="","-",INDEX(T2_GroupSKU!$D:$D,MATCH(B160,T2_GroupSKU!$A:$A,0))),"-")</f>
        <v>-</v>
      </c>
      <c r="I160" s="10" t="str">
        <f t="array" ref="I160">IFERROR(IF(INDEX(T2_GroupSKU!$E:$E,MATCH(B160,T2_GroupSKU!$A:$A,0))="","-",INDEX(T2_GroupSKU!$E:$E,MATCH(B160,T2_GroupSKU!$A:$A,0))),"-")</f>
        <v>-</v>
      </c>
      <c r="J160" s="10" t="str">
        <f>T3_SKU!C160</f>
        <v>Yellow</v>
      </c>
      <c r="K160" s="10" t="str">
        <f>T3_SKU!D160</f>
        <v>HANDLE YELLOW</v>
      </c>
      <c r="L160" s="10" t="str">
        <f>T3_SKU!E160</f>
        <v>nos</v>
      </c>
      <c r="M160" s="10" t="str">
        <f>T3_SKU!F160</f>
        <v>39235010</v>
      </c>
    </row>
    <row r="161" ht="15.0" customHeight="1">
      <c r="A161" s="10" t="str">
        <f>T3_SKU!A161</f>
        <v>INS-10IN-V163</v>
      </c>
      <c r="B161" s="10" t="str">
        <f>T3_SKU!B161</f>
        <v>INS-10IN</v>
      </c>
      <c r="C161" s="10" t="str">
        <f t="array" ref="C161">IFERROR(INDEX(T2_GroupSKU!$B:$B,MATCH(B161,T2_GroupSKU!$A:$A,0)),"")</f>
        <v>Insert - 10.0"</v>
      </c>
      <c r="D161" s="10" t="str">
        <f t="array" ref="D161">IFERROR(INDEX(T1_ProductType!$B:$B,MATCH(INDEX(T2_GroupSKU!$C:$C,MATCH(B161,T2_GroupSKU!$A:$A,0)),T1_ProductType!$A:$A,0)),"")</f>
        <v>Insert</v>
      </c>
      <c r="E161" s="10" t="str">
        <f t="array" ref="E161">IFERROR(INDEX(T1_ProductType!$C:$C,MATCH(INDEX(T2_GroupSKU!$C:$C,MATCH(B161,T2_GroupSKU!$A:$A,0)),T1_ProductType!$A:$A,0)),"")</f>
        <v>Accessory</v>
      </c>
      <c r="F161" s="10" t="str">
        <f t="array" ref="F161">IFERROR(INDEX(T1_ProductType!$D:$D,MATCH(INDEX(T2_GroupSKU!$C:$C,MATCH(B161,T2_GroupSKU!$A:$A,0)),T1_ProductType!$A:$A,0)),"")</f>
        <v>Plastic Barrels</v>
      </c>
      <c r="G161" s="10" t="str">
        <f t="array" ref="G161">IFERROR(IF(INDEX(T1_ProductType!$E:$E,MATCH(INDEX(T2_GroupSKU!$C:$C,MATCH(B161,T2_GroupSKU!$A:$A,0)),T1_ProductType!$A:$A,0))="","-",INDEX(T1_ProductType!$E:$E,MATCH(INDEX(T2_GroupSKU!$C:$C,MATCH(B161,T2_GroupSKU!$A:$A,0)),T1_ProductType!$A:$A,0))),"-")</f>
        <v>-</v>
      </c>
      <c r="H161" s="10">
        <f t="array" ref="H161">IFERROR(IF(INDEX(T2_GroupSKU!$D:$D,MATCH(B161,T2_GroupSKU!$A:$A,0))="","-",INDEX(T2_GroupSKU!$D:$D,MATCH(B161,T2_GroupSKU!$A:$A,0))),"-")</f>
        <v>10</v>
      </c>
      <c r="I161" s="10" t="str">
        <f t="array" ref="I161">IFERROR(IF(INDEX(T2_GroupSKU!$E:$E,MATCH(B161,T2_GroupSKU!$A:$A,0))="","-",INDEX(T2_GroupSKU!$E:$E,MATCH(B161,T2_GroupSKU!$A:$A,0))),"-")</f>
        <v>INCH</v>
      </c>
      <c r="J161" s="10" t="str">
        <f>T3_SKU!C161</f>
        <v>10" INSERT</v>
      </c>
      <c r="K161" s="10" t="str">
        <f>T3_SKU!D161</f>
        <v>10" INSERT</v>
      </c>
      <c r="L161" s="10" t="str">
        <f>T3_SKU!E161</f>
        <v>NOS</v>
      </c>
      <c r="M161" s="10" t="str">
        <f>T3_SKU!F161</f>
        <v>               </v>
      </c>
    </row>
    <row r="162" ht="15.0" customHeight="1">
      <c r="A162" s="10" t="str">
        <f>T3_SKU!A162</f>
        <v>INS-1IN-V162</v>
      </c>
      <c r="B162" s="10" t="str">
        <f>T3_SKU!B162</f>
        <v>INS-1IN</v>
      </c>
      <c r="C162" s="10" t="str">
        <f t="array" ref="C162">IFERROR(INDEX(T2_GroupSKU!$B:$B,MATCH(B162,T2_GroupSKU!$A:$A,0)),"")</f>
        <v>Insert - 1.0"</v>
      </c>
      <c r="D162" s="10" t="str">
        <f t="array" ref="D162">IFERROR(INDEX(T1_ProductType!$B:$B,MATCH(INDEX(T2_GroupSKU!$C:$C,MATCH(B162,T2_GroupSKU!$A:$A,0)),T1_ProductType!$A:$A,0)),"")</f>
        <v>Insert</v>
      </c>
      <c r="E162" s="10" t="str">
        <f t="array" ref="E162">IFERROR(INDEX(T1_ProductType!$C:$C,MATCH(INDEX(T2_GroupSKU!$C:$C,MATCH(B162,T2_GroupSKU!$A:$A,0)),T1_ProductType!$A:$A,0)),"")</f>
        <v>Accessory</v>
      </c>
      <c r="F162" s="10" t="str">
        <f t="array" ref="F162">IFERROR(INDEX(T1_ProductType!$D:$D,MATCH(INDEX(T2_GroupSKU!$C:$C,MATCH(B162,T2_GroupSKU!$A:$A,0)),T1_ProductType!$A:$A,0)),"")</f>
        <v>Plastic Barrels</v>
      </c>
      <c r="G162" s="10" t="str">
        <f t="array" ref="G162">IFERROR(IF(INDEX(T1_ProductType!$E:$E,MATCH(INDEX(T2_GroupSKU!$C:$C,MATCH(B162,T2_GroupSKU!$A:$A,0)),T1_ProductType!$A:$A,0))="","-",INDEX(T1_ProductType!$E:$E,MATCH(INDEX(T2_GroupSKU!$C:$C,MATCH(B162,T2_GroupSKU!$A:$A,0)),T1_ProductType!$A:$A,0))),"-")</f>
        <v>-</v>
      </c>
      <c r="H162" s="10">
        <f t="array" ref="H162">IFERROR(IF(INDEX(T2_GroupSKU!$D:$D,MATCH(B162,T2_GroupSKU!$A:$A,0))="","-",INDEX(T2_GroupSKU!$D:$D,MATCH(B162,T2_GroupSKU!$A:$A,0))),"-")</f>
        <v>1</v>
      </c>
      <c r="I162" s="10" t="str">
        <f t="array" ref="I162">IFERROR(IF(INDEX(T2_GroupSKU!$E:$E,MATCH(B162,T2_GroupSKU!$A:$A,0))="","-",INDEX(T2_GroupSKU!$E:$E,MATCH(B162,T2_GroupSKU!$A:$A,0))),"-")</f>
        <v>INCH</v>
      </c>
      <c r="J162" s="10" t="str">
        <f>T3_SKU!C162</f>
        <v>1" INSERT</v>
      </c>
      <c r="K162" s="10" t="str">
        <f>T3_SKU!D162</f>
        <v>1" INSERT</v>
      </c>
      <c r="L162" s="10" t="str">
        <f>T3_SKU!E162</f>
        <v>NOS</v>
      </c>
      <c r="M162" s="10" t="str">
        <f>T3_SKU!F162</f>
        <v>39235010</v>
      </c>
    </row>
    <row r="163" ht="15.0" customHeight="1">
      <c r="A163" s="10" t="str">
        <f>T3_SKU!A163</f>
        <v>INS-2IN-V164</v>
      </c>
      <c r="B163" s="10" t="str">
        <f>T3_SKU!B163</f>
        <v>INS-2IN</v>
      </c>
      <c r="C163" s="10" t="str">
        <f t="array" ref="C163">IFERROR(INDEX(T2_GroupSKU!$B:$B,MATCH(B163,T2_GroupSKU!$A:$A,0)),"")</f>
        <v>Insert - 2.0"</v>
      </c>
      <c r="D163" s="10" t="str">
        <f t="array" ref="D163">IFERROR(INDEX(T1_ProductType!$B:$B,MATCH(INDEX(T2_GroupSKU!$C:$C,MATCH(B163,T2_GroupSKU!$A:$A,0)),T1_ProductType!$A:$A,0)),"")</f>
        <v>Insert</v>
      </c>
      <c r="E163" s="10" t="str">
        <f t="array" ref="E163">IFERROR(INDEX(T1_ProductType!$C:$C,MATCH(INDEX(T2_GroupSKU!$C:$C,MATCH(B163,T2_GroupSKU!$A:$A,0)),T1_ProductType!$A:$A,0)),"")</f>
        <v>Accessory</v>
      </c>
      <c r="F163" s="10" t="str">
        <f t="array" ref="F163">IFERROR(INDEX(T1_ProductType!$D:$D,MATCH(INDEX(T2_GroupSKU!$C:$C,MATCH(B163,T2_GroupSKU!$A:$A,0)),T1_ProductType!$A:$A,0)),"")</f>
        <v>Plastic Barrels</v>
      </c>
      <c r="G163" s="10" t="str">
        <f t="array" ref="G163">IFERROR(IF(INDEX(T1_ProductType!$E:$E,MATCH(INDEX(T2_GroupSKU!$C:$C,MATCH(B163,T2_GroupSKU!$A:$A,0)),T1_ProductType!$A:$A,0))="","-",INDEX(T1_ProductType!$E:$E,MATCH(INDEX(T2_GroupSKU!$C:$C,MATCH(B163,T2_GroupSKU!$A:$A,0)),T1_ProductType!$A:$A,0))),"-")</f>
        <v>-</v>
      </c>
      <c r="H163" s="10">
        <f t="array" ref="H163">IFERROR(IF(INDEX(T2_GroupSKU!$D:$D,MATCH(B163,T2_GroupSKU!$A:$A,0))="","-",INDEX(T2_GroupSKU!$D:$D,MATCH(B163,T2_GroupSKU!$A:$A,0))),"-")</f>
        <v>2</v>
      </c>
      <c r="I163" s="10" t="str">
        <f t="array" ref="I163">IFERROR(IF(INDEX(T2_GroupSKU!$E:$E,MATCH(B163,T2_GroupSKU!$A:$A,0))="","-",INDEX(T2_GroupSKU!$E:$E,MATCH(B163,T2_GroupSKU!$A:$A,0))),"-")</f>
        <v>INCH</v>
      </c>
      <c r="J163" s="10" t="str">
        <f>T3_SKU!C163</f>
        <v>2'' INSERT</v>
      </c>
      <c r="K163" s="10" t="str">
        <f>T3_SKU!D163</f>
        <v>2'' INSERT</v>
      </c>
      <c r="L163" s="10" t="str">
        <f>T3_SKU!E163</f>
        <v>NOS</v>
      </c>
      <c r="M163" s="10" t="str">
        <f>T3_SKU!F163</f>
        <v>               </v>
      </c>
    </row>
    <row r="164" ht="15.0" customHeight="1">
      <c r="A164" s="10" t="str">
        <f>T3_SKU!A164</f>
        <v>INS-2IN-V165</v>
      </c>
      <c r="B164" s="10" t="str">
        <f>T3_SKU!B164</f>
        <v>INS-2IN</v>
      </c>
      <c r="C164" s="10" t="str">
        <f t="array" ref="C164">IFERROR(INDEX(T2_GroupSKU!$B:$B,MATCH(B164,T2_GroupSKU!$A:$A,0)),"")</f>
        <v>Insert - 2.0"</v>
      </c>
      <c r="D164" s="10" t="str">
        <f t="array" ref="D164">IFERROR(INDEX(T1_ProductType!$B:$B,MATCH(INDEX(T2_GroupSKU!$C:$C,MATCH(B164,T2_GroupSKU!$A:$A,0)),T1_ProductType!$A:$A,0)),"")</f>
        <v>Insert</v>
      </c>
      <c r="E164" s="10" t="str">
        <f t="array" ref="E164">IFERROR(INDEX(T1_ProductType!$C:$C,MATCH(INDEX(T2_GroupSKU!$C:$C,MATCH(B164,T2_GroupSKU!$A:$A,0)),T1_ProductType!$A:$A,0)),"")</f>
        <v>Accessory</v>
      </c>
      <c r="F164" s="10" t="str">
        <f t="array" ref="F164">IFERROR(INDEX(T1_ProductType!$D:$D,MATCH(INDEX(T2_GroupSKU!$C:$C,MATCH(B164,T2_GroupSKU!$A:$A,0)),T1_ProductType!$A:$A,0)),"")</f>
        <v>Plastic Barrels</v>
      </c>
      <c r="G164" s="10" t="str">
        <f t="array" ref="G164">IFERROR(IF(INDEX(T1_ProductType!$E:$E,MATCH(INDEX(T2_GroupSKU!$C:$C,MATCH(B164,T2_GroupSKU!$A:$A,0)),T1_ProductType!$A:$A,0))="","-",INDEX(T1_ProductType!$E:$E,MATCH(INDEX(T2_GroupSKU!$C:$C,MATCH(B164,T2_GroupSKU!$A:$A,0)),T1_ProductType!$A:$A,0))),"-")</f>
        <v>-</v>
      </c>
      <c r="H164" s="10">
        <f t="array" ref="H164">IFERROR(IF(INDEX(T2_GroupSKU!$D:$D,MATCH(B164,T2_GroupSKU!$A:$A,0))="","-",INDEX(T2_GroupSKU!$D:$D,MATCH(B164,T2_GroupSKU!$A:$A,0))),"-")</f>
        <v>2</v>
      </c>
      <c r="I164" s="10" t="str">
        <f t="array" ref="I164">IFERROR(IF(INDEX(T2_GroupSKU!$E:$E,MATCH(B164,T2_GroupSKU!$A:$A,0))="","-",INDEX(T2_GroupSKU!$E:$E,MATCH(B164,T2_GroupSKU!$A:$A,0))),"-")</f>
        <v>INCH</v>
      </c>
      <c r="J164" s="10" t="str">
        <f>T3_SKU!C164</f>
        <v>2" VENT INSERT</v>
      </c>
      <c r="K164" s="10" t="str">
        <f>T3_SKU!D164</f>
        <v>2" VENT INSERT</v>
      </c>
      <c r="L164" s="10" t="str">
        <f>T3_SKU!E164</f>
        <v>NOS</v>
      </c>
      <c r="M164" s="10" t="str">
        <f>T3_SKU!F164</f>
        <v>3923</v>
      </c>
    </row>
    <row r="165" ht="15.0" customHeight="1">
      <c r="A165" s="10" t="str">
        <f>T3_SKU!A165</f>
        <v>INS-6IN-V166</v>
      </c>
      <c r="B165" s="10" t="str">
        <f>T3_SKU!B165</f>
        <v>INS-6IN</v>
      </c>
      <c r="C165" s="10" t="str">
        <f t="array" ref="C165">IFERROR(INDEX(T2_GroupSKU!$B:$B,MATCH(B165,T2_GroupSKU!$A:$A,0)),"")</f>
        <v>Insert - 6.0"</v>
      </c>
      <c r="D165" s="10" t="str">
        <f t="array" ref="D165">IFERROR(INDEX(T1_ProductType!$B:$B,MATCH(INDEX(T2_GroupSKU!$C:$C,MATCH(B165,T2_GroupSKU!$A:$A,0)),T1_ProductType!$A:$A,0)),"")</f>
        <v>Insert</v>
      </c>
      <c r="E165" s="10" t="str">
        <f t="array" ref="E165">IFERROR(INDEX(T1_ProductType!$C:$C,MATCH(INDEX(T2_GroupSKU!$C:$C,MATCH(B165,T2_GroupSKU!$A:$A,0)),T1_ProductType!$A:$A,0)),"")</f>
        <v>Accessory</v>
      </c>
      <c r="F165" s="10" t="str">
        <f t="array" ref="F165">IFERROR(INDEX(T1_ProductType!$D:$D,MATCH(INDEX(T2_GroupSKU!$C:$C,MATCH(B165,T2_GroupSKU!$A:$A,0)),T1_ProductType!$A:$A,0)),"")</f>
        <v>Plastic Barrels</v>
      </c>
      <c r="G165" s="10" t="str">
        <f t="array" ref="G165">IFERROR(IF(INDEX(T1_ProductType!$E:$E,MATCH(INDEX(T2_GroupSKU!$C:$C,MATCH(B165,T2_GroupSKU!$A:$A,0)),T1_ProductType!$A:$A,0))="","-",INDEX(T1_ProductType!$E:$E,MATCH(INDEX(T2_GroupSKU!$C:$C,MATCH(B165,T2_GroupSKU!$A:$A,0)),T1_ProductType!$A:$A,0))),"-")</f>
        <v>-</v>
      </c>
      <c r="H165" s="10">
        <f t="array" ref="H165">IFERROR(IF(INDEX(T2_GroupSKU!$D:$D,MATCH(B165,T2_GroupSKU!$A:$A,0))="","-",INDEX(T2_GroupSKU!$D:$D,MATCH(B165,T2_GroupSKU!$A:$A,0))),"-")</f>
        <v>6</v>
      </c>
      <c r="I165" s="10" t="str">
        <f t="array" ref="I165">IFERROR(IF(INDEX(T2_GroupSKU!$E:$E,MATCH(B165,T2_GroupSKU!$A:$A,0))="","-",INDEX(T2_GroupSKU!$E:$E,MATCH(B165,T2_GroupSKU!$A:$A,0))),"-")</f>
        <v>INCH</v>
      </c>
      <c r="J165" s="10" t="str">
        <f>T3_SKU!C165</f>
        <v>6" INSERT</v>
      </c>
      <c r="K165" s="10" t="str">
        <f>T3_SKU!D165</f>
        <v>6" INSERT</v>
      </c>
      <c r="L165" s="10" t="str">
        <f>T3_SKU!E165</f>
        <v>NOS</v>
      </c>
      <c r="M165" s="10" t="str">
        <f>T3_SKU!F165</f>
        <v>39235010</v>
      </c>
    </row>
    <row r="166" ht="15.0" customHeight="1">
      <c r="A166" s="10" t="str">
        <f>T3_SKU!A166</f>
        <v>INS-8IN-V167</v>
      </c>
      <c r="B166" s="10" t="str">
        <f>T3_SKU!B166</f>
        <v>INS-8IN</v>
      </c>
      <c r="C166" s="10" t="str">
        <f t="array" ref="C166">IFERROR(INDEX(T2_GroupSKU!$B:$B,MATCH(B166,T2_GroupSKU!$A:$A,0)),"")</f>
        <v>Insert - 8.0"</v>
      </c>
      <c r="D166" s="10" t="str">
        <f t="array" ref="D166">IFERROR(INDEX(T1_ProductType!$B:$B,MATCH(INDEX(T2_GroupSKU!$C:$C,MATCH(B166,T2_GroupSKU!$A:$A,0)),T1_ProductType!$A:$A,0)),"")</f>
        <v>Insert</v>
      </c>
      <c r="E166" s="10" t="str">
        <f t="array" ref="E166">IFERROR(INDEX(T1_ProductType!$C:$C,MATCH(INDEX(T2_GroupSKU!$C:$C,MATCH(B166,T2_GroupSKU!$A:$A,0)),T1_ProductType!$A:$A,0)),"")</f>
        <v>Accessory</v>
      </c>
      <c r="F166" s="10" t="str">
        <f t="array" ref="F166">IFERROR(INDEX(T1_ProductType!$D:$D,MATCH(INDEX(T2_GroupSKU!$C:$C,MATCH(B166,T2_GroupSKU!$A:$A,0)),T1_ProductType!$A:$A,0)),"")</f>
        <v>Plastic Barrels</v>
      </c>
      <c r="G166" s="10" t="str">
        <f t="array" ref="G166">IFERROR(IF(INDEX(T1_ProductType!$E:$E,MATCH(INDEX(T2_GroupSKU!$C:$C,MATCH(B166,T2_GroupSKU!$A:$A,0)),T1_ProductType!$A:$A,0))="","-",INDEX(T1_ProductType!$E:$E,MATCH(INDEX(T2_GroupSKU!$C:$C,MATCH(B166,T2_GroupSKU!$A:$A,0)),T1_ProductType!$A:$A,0))),"-")</f>
        <v>-</v>
      </c>
      <c r="H166" s="10">
        <f t="array" ref="H166">IFERROR(IF(INDEX(T2_GroupSKU!$D:$D,MATCH(B166,T2_GroupSKU!$A:$A,0))="","-",INDEX(T2_GroupSKU!$D:$D,MATCH(B166,T2_GroupSKU!$A:$A,0))),"-")</f>
        <v>8</v>
      </c>
      <c r="I166" s="10" t="str">
        <f t="array" ref="I166">IFERROR(IF(INDEX(T2_GroupSKU!$E:$E,MATCH(B166,T2_GroupSKU!$A:$A,0))="","-",INDEX(T2_GroupSKU!$E:$E,MATCH(B166,T2_GroupSKU!$A:$A,0))),"-")</f>
        <v>INCH</v>
      </c>
      <c r="J166" s="10" t="str">
        <f>T3_SKU!C166</f>
        <v>8" INSERT</v>
      </c>
      <c r="K166" s="10" t="str">
        <f>T3_SKU!D166</f>
        <v>8" INSERT</v>
      </c>
      <c r="L166" s="10" t="str">
        <f>T3_SKU!E166</f>
        <v>NOS</v>
      </c>
      <c r="M166" s="10" t="str">
        <f>T3_SKU!F166</f>
        <v>39235010</v>
      </c>
    </row>
    <row r="167" ht="15.0" customHeight="1">
      <c r="A167" s="10" t="str">
        <f>T3_SKU!A167</f>
        <v>INS-V168</v>
      </c>
      <c r="B167" s="10" t="str">
        <f>T3_SKU!B167</f>
        <v>INS</v>
      </c>
      <c r="C167" s="10" t="str">
        <f t="array" ref="C167">IFERROR(INDEX(T2_GroupSKU!$B:$B,MATCH(B167,T2_GroupSKU!$A:$A,0)),"")</f>
        <v>Insert</v>
      </c>
      <c r="D167" s="10" t="str">
        <f t="array" ref="D167">IFERROR(INDEX(T1_ProductType!$B:$B,MATCH(INDEX(T2_GroupSKU!$C:$C,MATCH(B167,T2_GroupSKU!$A:$A,0)),T1_ProductType!$A:$A,0)),"")</f>
        <v>Insert</v>
      </c>
      <c r="E167" s="10" t="str">
        <f t="array" ref="E167">IFERROR(INDEX(T1_ProductType!$C:$C,MATCH(INDEX(T2_GroupSKU!$C:$C,MATCH(B167,T2_GroupSKU!$A:$A,0)),T1_ProductType!$A:$A,0)),"")</f>
        <v>Accessory</v>
      </c>
      <c r="F167" s="10" t="str">
        <f t="array" ref="F167">IFERROR(INDEX(T1_ProductType!$D:$D,MATCH(INDEX(T2_GroupSKU!$C:$C,MATCH(B167,T2_GroupSKU!$A:$A,0)),T1_ProductType!$A:$A,0)),"")</f>
        <v>Plastic Barrels</v>
      </c>
      <c r="G167" s="10" t="str">
        <f t="array" ref="G167">IFERROR(IF(INDEX(T1_ProductType!$E:$E,MATCH(INDEX(T2_GroupSKU!$C:$C,MATCH(B167,T2_GroupSKU!$A:$A,0)),T1_ProductType!$A:$A,0))="","-",INDEX(T1_ProductType!$E:$E,MATCH(INDEX(T2_GroupSKU!$C:$C,MATCH(B167,T2_GroupSKU!$A:$A,0)),T1_ProductType!$A:$A,0))),"-")</f>
        <v>-</v>
      </c>
      <c r="H167" s="10" t="str">
        <f t="array" ref="H167">IFERROR(IF(INDEX(T2_GroupSKU!$D:$D,MATCH(B167,T2_GroupSKU!$A:$A,0))="","-",INDEX(T2_GroupSKU!$D:$D,MATCH(B167,T2_GroupSKU!$A:$A,0))),"-")</f>
        <v>-</v>
      </c>
      <c r="I167" s="10" t="str">
        <f t="array" ref="I167">IFERROR(IF(INDEX(T2_GroupSKU!$E:$E,MATCH(B167,T2_GroupSKU!$A:$A,0))="","-",INDEX(T2_GroupSKU!$E:$E,MATCH(B167,T2_GroupSKU!$A:$A,0))),"-")</f>
        <v>-</v>
      </c>
      <c r="J167" s="10" t="str">
        <f>T3_SKU!C167</f>
        <v>M/Z INSERT</v>
      </c>
      <c r="K167" s="10" t="str">
        <f>T3_SKU!D167</f>
        <v>M/Z INSERT</v>
      </c>
      <c r="L167" s="10" t="str">
        <f>T3_SKU!E167</f>
        <v>NOS</v>
      </c>
      <c r="M167" s="10" t="str">
        <f>T3_SKU!F167</f>
        <v>39235010</v>
      </c>
    </row>
    <row r="168" ht="15.0" customHeight="1">
      <c r="A168" s="10" t="str">
        <f>T3_SKU!A168</f>
        <v>JC-25-BLU-12KG</v>
      </c>
      <c r="B168" s="10" t="str">
        <f>T3_SKU!B168</f>
        <v>JC-25</v>
      </c>
      <c r="C168" s="10" t="str">
        <f t="array" ref="C168">IFERROR(INDEX(T2_GroupSKU!$B:$B,MATCH(B168,T2_GroupSKU!$A:$A,0)),"")</f>
        <v>Jerry Can - 25.0 LTR</v>
      </c>
      <c r="D168" s="10" t="str">
        <f t="array" ref="D168">IFERROR(INDEX(T1_ProductType!$B:$B,MATCH(INDEX(T2_GroupSKU!$C:$C,MATCH(B168,T2_GroupSKU!$A:$A,0)),T1_ProductType!$A:$A,0)),"")</f>
        <v>Jerry Can</v>
      </c>
      <c r="E168" s="10" t="str">
        <f t="array" ref="E168">IFERROR(INDEX(T1_ProductType!$C:$C,MATCH(INDEX(T2_GroupSKU!$C:$C,MATCH(B168,T2_GroupSKU!$A:$A,0)),T1_ProductType!$A:$A,0)),"")</f>
        <v>Can</v>
      </c>
      <c r="F168" s="10" t="str">
        <f t="array" ref="F168">IFERROR(INDEX(T1_ProductType!$D:$D,MATCH(INDEX(T2_GroupSKU!$C:$C,MATCH(B168,T2_GroupSKU!$A:$A,0)),T1_ProductType!$A:$A,0)),"")</f>
        <v>Plastic Barrels</v>
      </c>
      <c r="G168" s="10" t="str">
        <f t="array" ref="G168">IFERROR(IF(INDEX(T1_ProductType!$E:$E,MATCH(INDEX(T2_GroupSKU!$C:$C,MATCH(B168,T2_GroupSKU!$A:$A,0)),T1_ProductType!$A:$A,0))="","-",INDEX(T1_ProductType!$E:$E,MATCH(INDEX(T2_GroupSKU!$C:$C,MATCH(B168,T2_GroupSKU!$A:$A,0)),T1_ProductType!$A:$A,0))),"-")</f>
        <v>Jerry Can / Carboy</v>
      </c>
      <c r="H168" s="10">
        <f t="array" ref="H168">IFERROR(IF(INDEX(T2_GroupSKU!$D:$D,MATCH(B168,T2_GroupSKU!$A:$A,0))="","-",INDEX(T2_GroupSKU!$D:$D,MATCH(B168,T2_GroupSKU!$A:$A,0))),"-")</f>
        <v>25</v>
      </c>
      <c r="I168" s="10" t="str">
        <f t="array" ref="I168">IFERROR(IF(INDEX(T2_GroupSKU!$E:$E,MATCH(B168,T2_GroupSKU!$A:$A,0))="","-",INDEX(T2_GroupSKU!$E:$E,MATCH(B168,T2_GroupSKU!$A:$A,0))),"-")</f>
        <v>LTR</v>
      </c>
      <c r="J168" s="10" t="str">
        <f>T3_SKU!C168</f>
        <v>Blue / 1.2 KG</v>
      </c>
      <c r="K168" s="10" t="str">
        <f>T3_SKU!D168</f>
        <v>25 LTR BLUE J/C 1.2 KG</v>
      </c>
      <c r="L168" s="10" t="str">
        <f>T3_SKU!E168</f>
        <v>NOS</v>
      </c>
      <c r="M168" s="10" t="str">
        <f>T3_SKU!F168</f>
        <v>39233090</v>
      </c>
    </row>
    <row r="169" ht="15.0" customHeight="1">
      <c r="A169" s="10" t="str">
        <f>T3_SKU!A169</f>
        <v>JC-30-BLK-20KG</v>
      </c>
      <c r="B169" s="10" t="str">
        <f>T3_SKU!B169</f>
        <v>JC-30</v>
      </c>
      <c r="C169" s="10" t="str">
        <f t="array" ref="C169">IFERROR(INDEX(T2_GroupSKU!$B:$B,MATCH(B169,T2_GroupSKU!$A:$A,0)),"")</f>
        <v>Jerry Can - 30.0 LTR</v>
      </c>
      <c r="D169" s="10" t="str">
        <f t="array" ref="D169">IFERROR(INDEX(T1_ProductType!$B:$B,MATCH(INDEX(T2_GroupSKU!$C:$C,MATCH(B169,T2_GroupSKU!$A:$A,0)),T1_ProductType!$A:$A,0)),"")</f>
        <v>Jerry Can</v>
      </c>
      <c r="E169" s="10" t="str">
        <f t="array" ref="E169">IFERROR(INDEX(T1_ProductType!$C:$C,MATCH(INDEX(T2_GroupSKU!$C:$C,MATCH(B169,T2_GroupSKU!$A:$A,0)),T1_ProductType!$A:$A,0)),"")</f>
        <v>Can</v>
      </c>
      <c r="F169" s="10" t="str">
        <f t="array" ref="F169">IFERROR(INDEX(T1_ProductType!$D:$D,MATCH(INDEX(T2_GroupSKU!$C:$C,MATCH(B169,T2_GroupSKU!$A:$A,0)),T1_ProductType!$A:$A,0)),"")</f>
        <v>Plastic Barrels</v>
      </c>
      <c r="G169" s="10" t="str">
        <f t="array" ref="G169">IFERROR(IF(INDEX(T1_ProductType!$E:$E,MATCH(INDEX(T2_GroupSKU!$C:$C,MATCH(B169,T2_GroupSKU!$A:$A,0)),T1_ProductType!$A:$A,0))="","-",INDEX(T1_ProductType!$E:$E,MATCH(INDEX(T2_GroupSKU!$C:$C,MATCH(B169,T2_GroupSKU!$A:$A,0)),T1_ProductType!$A:$A,0))),"-")</f>
        <v>Jerry Can / Carboy</v>
      </c>
      <c r="H169" s="10">
        <f t="array" ref="H169">IFERROR(IF(INDEX(T2_GroupSKU!$D:$D,MATCH(B169,T2_GroupSKU!$A:$A,0))="","-",INDEX(T2_GroupSKU!$D:$D,MATCH(B169,T2_GroupSKU!$A:$A,0))),"-")</f>
        <v>30</v>
      </c>
      <c r="I169" s="10" t="str">
        <f t="array" ref="I169">IFERROR(IF(INDEX(T2_GroupSKU!$E:$E,MATCH(B169,T2_GroupSKU!$A:$A,0))="","-",INDEX(T2_GroupSKU!$E:$E,MATCH(B169,T2_GroupSKU!$A:$A,0))),"-")</f>
        <v>LTR</v>
      </c>
      <c r="J169" s="10" t="str">
        <f>T3_SKU!C169</f>
        <v>Black / 2.0 KG</v>
      </c>
      <c r="K169" s="10" t="str">
        <f>T3_SKU!D169</f>
        <v>30 LTR BLACK J/C 2.00 KG</v>
      </c>
      <c r="L169" s="10" t="str">
        <f>T3_SKU!E169</f>
        <v>NOS</v>
      </c>
      <c r="M169" s="10" t="str">
        <f>T3_SKU!F169</f>
        <v>39233090</v>
      </c>
    </row>
    <row r="170" ht="15.0" customHeight="1">
      <c r="A170" s="10" t="str">
        <f>T3_SKU!A170</f>
        <v>JC-30-BLU-16KG</v>
      </c>
      <c r="B170" s="10" t="str">
        <f>T3_SKU!B170</f>
        <v>JC-30</v>
      </c>
      <c r="C170" s="10" t="str">
        <f t="array" ref="C170">IFERROR(INDEX(T2_GroupSKU!$B:$B,MATCH(B170,T2_GroupSKU!$A:$A,0)),"")</f>
        <v>Jerry Can - 30.0 LTR</v>
      </c>
      <c r="D170" s="10" t="str">
        <f t="array" ref="D170">IFERROR(INDEX(T1_ProductType!$B:$B,MATCH(INDEX(T2_GroupSKU!$C:$C,MATCH(B170,T2_GroupSKU!$A:$A,0)),T1_ProductType!$A:$A,0)),"")</f>
        <v>Jerry Can</v>
      </c>
      <c r="E170" s="10" t="str">
        <f t="array" ref="E170">IFERROR(INDEX(T1_ProductType!$C:$C,MATCH(INDEX(T2_GroupSKU!$C:$C,MATCH(B170,T2_GroupSKU!$A:$A,0)),T1_ProductType!$A:$A,0)),"")</f>
        <v>Can</v>
      </c>
      <c r="F170" s="10" t="str">
        <f t="array" ref="F170">IFERROR(INDEX(T1_ProductType!$D:$D,MATCH(INDEX(T2_GroupSKU!$C:$C,MATCH(B170,T2_GroupSKU!$A:$A,0)),T1_ProductType!$A:$A,0)),"")</f>
        <v>Plastic Barrels</v>
      </c>
      <c r="G170" s="10" t="str">
        <f t="array" ref="G170">IFERROR(IF(INDEX(T1_ProductType!$E:$E,MATCH(INDEX(T2_GroupSKU!$C:$C,MATCH(B170,T2_GroupSKU!$A:$A,0)),T1_ProductType!$A:$A,0))="","-",INDEX(T1_ProductType!$E:$E,MATCH(INDEX(T2_GroupSKU!$C:$C,MATCH(B170,T2_GroupSKU!$A:$A,0)),T1_ProductType!$A:$A,0))),"-")</f>
        <v>Jerry Can / Carboy</v>
      </c>
      <c r="H170" s="10">
        <f t="array" ref="H170">IFERROR(IF(INDEX(T2_GroupSKU!$D:$D,MATCH(B170,T2_GroupSKU!$A:$A,0))="","-",INDEX(T2_GroupSKU!$D:$D,MATCH(B170,T2_GroupSKU!$A:$A,0))),"-")</f>
        <v>30</v>
      </c>
      <c r="I170" s="10" t="str">
        <f t="array" ref="I170">IFERROR(IF(INDEX(T2_GroupSKU!$E:$E,MATCH(B170,T2_GroupSKU!$A:$A,0))="","-",INDEX(T2_GroupSKU!$E:$E,MATCH(B170,T2_GroupSKU!$A:$A,0))),"-")</f>
        <v>LTR</v>
      </c>
      <c r="J170" s="10" t="str">
        <f>T3_SKU!C170</f>
        <v>Blue / 1.6 KG</v>
      </c>
      <c r="K170" s="10" t="str">
        <f>T3_SKU!D170</f>
        <v>30 LTR BLUE J/C 1.6 KG</v>
      </c>
      <c r="L170" s="10" t="str">
        <f>T3_SKU!E170</f>
        <v>NOS</v>
      </c>
      <c r="M170" s="10" t="str">
        <f>T3_SKU!F170</f>
        <v>39233090</v>
      </c>
    </row>
    <row r="171" ht="15.0" customHeight="1">
      <c r="A171" s="10" t="str">
        <f>T3_SKU!A171</f>
        <v>JC-30-BLU-20KG</v>
      </c>
      <c r="B171" s="10" t="str">
        <f>T3_SKU!B171</f>
        <v>JC-30</v>
      </c>
      <c r="C171" s="10" t="str">
        <f t="array" ref="C171">IFERROR(INDEX(T2_GroupSKU!$B:$B,MATCH(B171,T2_GroupSKU!$A:$A,0)),"")</f>
        <v>Jerry Can - 30.0 LTR</v>
      </c>
      <c r="D171" s="10" t="str">
        <f t="array" ref="D171">IFERROR(INDEX(T1_ProductType!$B:$B,MATCH(INDEX(T2_GroupSKU!$C:$C,MATCH(B171,T2_GroupSKU!$A:$A,0)),T1_ProductType!$A:$A,0)),"")</f>
        <v>Jerry Can</v>
      </c>
      <c r="E171" s="10" t="str">
        <f t="array" ref="E171">IFERROR(INDEX(T1_ProductType!$C:$C,MATCH(INDEX(T2_GroupSKU!$C:$C,MATCH(B171,T2_GroupSKU!$A:$A,0)),T1_ProductType!$A:$A,0)),"")</f>
        <v>Can</v>
      </c>
      <c r="F171" s="10" t="str">
        <f t="array" ref="F171">IFERROR(INDEX(T1_ProductType!$D:$D,MATCH(INDEX(T2_GroupSKU!$C:$C,MATCH(B171,T2_GroupSKU!$A:$A,0)),T1_ProductType!$A:$A,0)),"")</f>
        <v>Plastic Barrels</v>
      </c>
      <c r="G171" s="10" t="str">
        <f t="array" ref="G171">IFERROR(IF(INDEX(T1_ProductType!$E:$E,MATCH(INDEX(T2_GroupSKU!$C:$C,MATCH(B171,T2_GroupSKU!$A:$A,0)),T1_ProductType!$A:$A,0))="","-",INDEX(T1_ProductType!$E:$E,MATCH(INDEX(T2_GroupSKU!$C:$C,MATCH(B171,T2_GroupSKU!$A:$A,0)),T1_ProductType!$A:$A,0))),"-")</f>
        <v>Jerry Can / Carboy</v>
      </c>
      <c r="H171" s="10">
        <f t="array" ref="H171">IFERROR(IF(INDEX(T2_GroupSKU!$D:$D,MATCH(B171,T2_GroupSKU!$A:$A,0))="","-",INDEX(T2_GroupSKU!$D:$D,MATCH(B171,T2_GroupSKU!$A:$A,0))),"-")</f>
        <v>30</v>
      </c>
      <c r="I171" s="10" t="str">
        <f t="array" ref="I171">IFERROR(IF(INDEX(T2_GroupSKU!$E:$E,MATCH(B171,T2_GroupSKU!$A:$A,0))="","-",INDEX(T2_GroupSKU!$E:$E,MATCH(B171,T2_GroupSKU!$A:$A,0))),"-")</f>
        <v>LTR</v>
      </c>
      <c r="J171" s="10" t="str">
        <f>T3_SKU!C171</f>
        <v>Blue / 2.0 KG</v>
      </c>
      <c r="K171" s="10" t="str">
        <f>T3_SKU!D171</f>
        <v>30 LTR BLUE J/C 2.0 KG</v>
      </c>
      <c r="L171" s="10" t="str">
        <f>T3_SKU!E171</f>
        <v>NOS</v>
      </c>
      <c r="M171" s="10" t="str">
        <f>T3_SKU!F171</f>
        <v>39233090</v>
      </c>
    </row>
    <row r="172" ht="15.0" customHeight="1">
      <c r="A172" s="10" t="str">
        <f>T3_SKU!A172</f>
        <v>JC-30-YEL-196KG</v>
      </c>
      <c r="B172" s="10" t="str">
        <f>T3_SKU!B172</f>
        <v>JC-30</v>
      </c>
      <c r="C172" s="10" t="str">
        <f t="array" ref="C172">IFERROR(INDEX(T2_GroupSKU!$B:$B,MATCH(B172,T2_GroupSKU!$A:$A,0)),"")</f>
        <v>Jerry Can - 30.0 LTR</v>
      </c>
      <c r="D172" s="10" t="str">
        <f t="array" ref="D172">IFERROR(INDEX(T1_ProductType!$B:$B,MATCH(INDEX(T2_GroupSKU!$C:$C,MATCH(B172,T2_GroupSKU!$A:$A,0)),T1_ProductType!$A:$A,0)),"")</f>
        <v>Jerry Can</v>
      </c>
      <c r="E172" s="10" t="str">
        <f t="array" ref="E172">IFERROR(INDEX(T1_ProductType!$C:$C,MATCH(INDEX(T2_GroupSKU!$C:$C,MATCH(B172,T2_GroupSKU!$A:$A,0)),T1_ProductType!$A:$A,0)),"")</f>
        <v>Can</v>
      </c>
      <c r="F172" s="10" t="str">
        <f t="array" ref="F172">IFERROR(INDEX(T1_ProductType!$D:$D,MATCH(INDEX(T2_GroupSKU!$C:$C,MATCH(B172,T2_GroupSKU!$A:$A,0)),T1_ProductType!$A:$A,0)),"")</f>
        <v>Plastic Barrels</v>
      </c>
      <c r="G172" s="10" t="str">
        <f t="array" ref="G172">IFERROR(IF(INDEX(T1_ProductType!$E:$E,MATCH(INDEX(T2_GroupSKU!$C:$C,MATCH(B172,T2_GroupSKU!$A:$A,0)),T1_ProductType!$A:$A,0))="","-",INDEX(T1_ProductType!$E:$E,MATCH(INDEX(T2_GroupSKU!$C:$C,MATCH(B172,T2_GroupSKU!$A:$A,0)),T1_ProductType!$A:$A,0))),"-")</f>
        <v>Jerry Can / Carboy</v>
      </c>
      <c r="H172" s="10">
        <f t="array" ref="H172">IFERROR(IF(INDEX(T2_GroupSKU!$D:$D,MATCH(B172,T2_GroupSKU!$A:$A,0))="","-",INDEX(T2_GroupSKU!$D:$D,MATCH(B172,T2_GroupSKU!$A:$A,0))),"-")</f>
        <v>30</v>
      </c>
      <c r="I172" s="10" t="str">
        <f t="array" ref="I172">IFERROR(IF(INDEX(T2_GroupSKU!$E:$E,MATCH(B172,T2_GroupSKU!$A:$A,0))="","-",INDEX(T2_GroupSKU!$E:$E,MATCH(B172,T2_GroupSKU!$A:$A,0))),"-")</f>
        <v>LTR</v>
      </c>
      <c r="J172" s="10" t="str">
        <f>T3_SKU!C172</f>
        <v>Yellow / 1.96 KG</v>
      </c>
      <c r="K172" s="10" t="str">
        <f>T3_SKU!D172</f>
        <v>30 LTR YELLOW J/C 1.96 KG</v>
      </c>
      <c r="L172" s="10" t="str">
        <f>T3_SKU!E172</f>
        <v>NOS</v>
      </c>
      <c r="M172" s="10" t="str">
        <f>T3_SKU!F172</f>
        <v>39233090</v>
      </c>
    </row>
    <row r="173" ht="15.0" customHeight="1">
      <c r="A173" s="10" t="str">
        <f>T3_SKU!A173</f>
        <v>JC-30-YEL-20KG</v>
      </c>
      <c r="B173" s="10" t="str">
        <f>T3_SKU!B173</f>
        <v>JC-30</v>
      </c>
      <c r="C173" s="10" t="str">
        <f t="array" ref="C173">IFERROR(INDEX(T2_GroupSKU!$B:$B,MATCH(B173,T2_GroupSKU!$A:$A,0)),"")</f>
        <v>Jerry Can - 30.0 LTR</v>
      </c>
      <c r="D173" s="10" t="str">
        <f t="array" ref="D173">IFERROR(INDEX(T1_ProductType!$B:$B,MATCH(INDEX(T2_GroupSKU!$C:$C,MATCH(B173,T2_GroupSKU!$A:$A,0)),T1_ProductType!$A:$A,0)),"")</f>
        <v>Jerry Can</v>
      </c>
      <c r="E173" s="10" t="str">
        <f t="array" ref="E173">IFERROR(INDEX(T1_ProductType!$C:$C,MATCH(INDEX(T2_GroupSKU!$C:$C,MATCH(B173,T2_GroupSKU!$A:$A,0)),T1_ProductType!$A:$A,0)),"")</f>
        <v>Can</v>
      </c>
      <c r="F173" s="10" t="str">
        <f t="array" ref="F173">IFERROR(INDEX(T1_ProductType!$D:$D,MATCH(INDEX(T2_GroupSKU!$C:$C,MATCH(B173,T2_GroupSKU!$A:$A,0)),T1_ProductType!$A:$A,0)),"")</f>
        <v>Plastic Barrels</v>
      </c>
      <c r="G173" s="10" t="str">
        <f t="array" ref="G173">IFERROR(IF(INDEX(T1_ProductType!$E:$E,MATCH(INDEX(T2_GroupSKU!$C:$C,MATCH(B173,T2_GroupSKU!$A:$A,0)),T1_ProductType!$A:$A,0))="","-",INDEX(T1_ProductType!$E:$E,MATCH(INDEX(T2_GroupSKU!$C:$C,MATCH(B173,T2_GroupSKU!$A:$A,0)),T1_ProductType!$A:$A,0))),"-")</f>
        <v>Jerry Can / Carboy</v>
      </c>
      <c r="H173" s="10">
        <f t="array" ref="H173">IFERROR(IF(INDEX(T2_GroupSKU!$D:$D,MATCH(B173,T2_GroupSKU!$A:$A,0))="","-",INDEX(T2_GroupSKU!$D:$D,MATCH(B173,T2_GroupSKU!$A:$A,0))),"-")</f>
        <v>30</v>
      </c>
      <c r="I173" s="10" t="str">
        <f t="array" ref="I173">IFERROR(IF(INDEX(T2_GroupSKU!$E:$E,MATCH(B173,T2_GroupSKU!$A:$A,0))="","-",INDEX(T2_GroupSKU!$E:$E,MATCH(B173,T2_GroupSKU!$A:$A,0))),"-")</f>
        <v>LTR</v>
      </c>
      <c r="J173" s="10" t="str">
        <f>T3_SKU!C173</f>
        <v>Yellow / 2.0 KG</v>
      </c>
      <c r="K173" s="10" t="str">
        <f>T3_SKU!D173</f>
        <v>30 LTR YELLOW J/C 2.0 KG</v>
      </c>
      <c r="L173" s="10" t="str">
        <f>T3_SKU!E173</f>
        <v>NOS</v>
      </c>
      <c r="M173" s="10" t="str">
        <f>T3_SKU!F173</f>
        <v>39233090</v>
      </c>
    </row>
    <row r="174" ht="15.0" customHeight="1">
      <c r="A174" s="10" t="str">
        <f>T3_SKU!A174</f>
        <v>JC-35-BLK-18KG</v>
      </c>
      <c r="B174" s="10" t="str">
        <f>T3_SKU!B174</f>
        <v>JC-35</v>
      </c>
      <c r="C174" s="10" t="str">
        <f t="array" ref="C174">IFERROR(INDEX(T2_GroupSKU!$B:$B,MATCH(B174,T2_GroupSKU!$A:$A,0)),"")</f>
        <v>Jerry Can - 35.0 LTR</v>
      </c>
      <c r="D174" s="10" t="str">
        <f t="array" ref="D174">IFERROR(INDEX(T1_ProductType!$B:$B,MATCH(INDEX(T2_GroupSKU!$C:$C,MATCH(B174,T2_GroupSKU!$A:$A,0)),T1_ProductType!$A:$A,0)),"")</f>
        <v>Jerry Can</v>
      </c>
      <c r="E174" s="10" t="str">
        <f t="array" ref="E174">IFERROR(INDEX(T1_ProductType!$C:$C,MATCH(INDEX(T2_GroupSKU!$C:$C,MATCH(B174,T2_GroupSKU!$A:$A,0)),T1_ProductType!$A:$A,0)),"")</f>
        <v>Can</v>
      </c>
      <c r="F174" s="10" t="str">
        <f t="array" ref="F174">IFERROR(INDEX(T1_ProductType!$D:$D,MATCH(INDEX(T2_GroupSKU!$C:$C,MATCH(B174,T2_GroupSKU!$A:$A,0)),T1_ProductType!$A:$A,0)),"")</f>
        <v>Plastic Barrels</v>
      </c>
      <c r="G174" s="10" t="str">
        <f t="array" ref="G174">IFERROR(IF(INDEX(T1_ProductType!$E:$E,MATCH(INDEX(T2_GroupSKU!$C:$C,MATCH(B174,T2_GroupSKU!$A:$A,0)),T1_ProductType!$A:$A,0))="","-",INDEX(T1_ProductType!$E:$E,MATCH(INDEX(T2_GroupSKU!$C:$C,MATCH(B174,T2_GroupSKU!$A:$A,0)),T1_ProductType!$A:$A,0))),"-")</f>
        <v>Jerry Can / Carboy</v>
      </c>
      <c r="H174" s="10">
        <f t="array" ref="H174">IFERROR(IF(INDEX(T2_GroupSKU!$D:$D,MATCH(B174,T2_GroupSKU!$A:$A,0))="","-",INDEX(T2_GroupSKU!$D:$D,MATCH(B174,T2_GroupSKU!$A:$A,0))),"-")</f>
        <v>35</v>
      </c>
      <c r="I174" s="10" t="str">
        <f t="array" ref="I174">IFERROR(IF(INDEX(T2_GroupSKU!$E:$E,MATCH(B174,T2_GroupSKU!$A:$A,0))="","-",INDEX(T2_GroupSKU!$E:$E,MATCH(B174,T2_GroupSKU!$A:$A,0))),"-")</f>
        <v>LTR</v>
      </c>
      <c r="J174" s="10" t="str">
        <f>T3_SKU!C174</f>
        <v>Black / 1.8 KG</v>
      </c>
      <c r="K174" s="10" t="str">
        <f>T3_SKU!D174</f>
        <v>35 LTR BLACK J/C 1.8 KG</v>
      </c>
      <c r="L174" s="10" t="str">
        <f>T3_SKU!E174</f>
        <v>NOS</v>
      </c>
      <c r="M174" s="10" t="str">
        <f>T3_SKU!F174</f>
        <v>39233090</v>
      </c>
    </row>
    <row r="175" ht="15.0" customHeight="1">
      <c r="A175" s="10" t="str">
        <f>T3_SKU!A175</f>
        <v>JC-35-BLK-19KG</v>
      </c>
      <c r="B175" s="10" t="str">
        <f>T3_SKU!B175</f>
        <v>JC-35</v>
      </c>
      <c r="C175" s="10" t="str">
        <f t="array" ref="C175">IFERROR(INDEX(T2_GroupSKU!$B:$B,MATCH(B175,T2_GroupSKU!$A:$A,0)),"")</f>
        <v>Jerry Can - 35.0 LTR</v>
      </c>
      <c r="D175" s="10" t="str">
        <f t="array" ref="D175">IFERROR(INDEX(T1_ProductType!$B:$B,MATCH(INDEX(T2_GroupSKU!$C:$C,MATCH(B175,T2_GroupSKU!$A:$A,0)),T1_ProductType!$A:$A,0)),"")</f>
        <v>Jerry Can</v>
      </c>
      <c r="E175" s="10" t="str">
        <f t="array" ref="E175">IFERROR(INDEX(T1_ProductType!$C:$C,MATCH(INDEX(T2_GroupSKU!$C:$C,MATCH(B175,T2_GroupSKU!$A:$A,0)),T1_ProductType!$A:$A,0)),"")</f>
        <v>Can</v>
      </c>
      <c r="F175" s="10" t="str">
        <f t="array" ref="F175">IFERROR(INDEX(T1_ProductType!$D:$D,MATCH(INDEX(T2_GroupSKU!$C:$C,MATCH(B175,T2_GroupSKU!$A:$A,0)),T1_ProductType!$A:$A,0)),"")</f>
        <v>Plastic Barrels</v>
      </c>
      <c r="G175" s="10" t="str">
        <f t="array" ref="G175">IFERROR(IF(INDEX(T1_ProductType!$E:$E,MATCH(INDEX(T2_GroupSKU!$C:$C,MATCH(B175,T2_GroupSKU!$A:$A,0)),T1_ProductType!$A:$A,0))="","-",INDEX(T1_ProductType!$E:$E,MATCH(INDEX(T2_GroupSKU!$C:$C,MATCH(B175,T2_GroupSKU!$A:$A,0)),T1_ProductType!$A:$A,0))),"-")</f>
        <v>Jerry Can / Carboy</v>
      </c>
      <c r="H175" s="10">
        <f t="array" ref="H175">IFERROR(IF(INDEX(T2_GroupSKU!$D:$D,MATCH(B175,T2_GroupSKU!$A:$A,0))="","-",INDEX(T2_GroupSKU!$D:$D,MATCH(B175,T2_GroupSKU!$A:$A,0))),"-")</f>
        <v>35</v>
      </c>
      <c r="I175" s="10" t="str">
        <f t="array" ref="I175">IFERROR(IF(INDEX(T2_GroupSKU!$E:$E,MATCH(B175,T2_GroupSKU!$A:$A,0))="","-",INDEX(T2_GroupSKU!$E:$E,MATCH(B175,T2_GroupSKU!$A:$A,0))),"-")</f>
        <v>LTR</v>
      </c>
      <c r="J175" s="10" t="str">
        <f>T3_SKU!C175</f>
        <v>Black / 1.9 KG</v>
      </c>
      <c r="K175" s="10" t="str">
        <f>T3_SKU!D175</f>
        <v>35 LTR BLACK J/C 1.9 KG</v>
      </c>
      <c r="L175" s="10" t="str">
        <f>T3_SKU!E175</f>
        <v>NOS</v>
      </c>
      <c r="M175" s="10" t="str">
        <f>T3_SKU!F175</f>
        <v>39233090</v>
      </c>
    </row>
    <row r="176" ht="15.0" customHeight="1">
      <c r="A176" s="10" t="str">
        <f>T3_SKU!A176</f>
        <v>JC-35-BLK-20KG</v>
      </c>
      <c r="B176" s="10" t="str">
        <f>T3_SKU!B176</f>
        <v>JC-35</v>
      </c>
      <c r="C176" s="10" t="str">
        <f t="array" ref="C176">IFERROR(INDEX(T2_GroupSKU!$B:$B,MATCH(B176,T2_GroupSKU!$A:$A,0)),"")</f>
        <v>Jerry Can - 35.0 LTR</v>
      </c>
      <c r="D176" s="10" t="str">
        <f t="array" ref="D176">IFERROR(INDEX(T1_ProductType!$B:$B,MATCH(INDEX(T2_GroupSKU!$C:$C,MATCH(B176,T2_GroupSKU!$A:$A,0)),T1_ProductType!$A:$A,0)),"")</f>
        <v>Jerry Can</v>
      </c>
      <c r="E176" s="10" t="str">
        <f t="array" ref="E176">IFERROR(INDEX(T1_ProductType!$C:$C,MATCH(INDEX(T2_GroupSKU!$C:$C,MATCH(B176,T2_GroupSKU!$A:$A,0)),T1_ProductType!$A:$A,0)),"")</f>
        <v>Can</v>
      </c>
      <c r="F176" s="10" t="str">
        <f t="array" ref="F176">IFERROR(INDEX(T1_ProductType!$D:$D,MATCH(INDEX(T2_GroupSKU!$C:$C,MATCH(B176,T2_GroupSKU!$A:$A,0)),T1_ProductType!$A:$A,0)),"")</f>
        <v>Plastic Barrels</v>
      </c>
      <c r="G176" s="10" t="str">
        <f t="array" ref="G176">IFERROR(IF(INDEX(T1_ProductType!$E:$E,MATCH(INDEX(T2_GroupSKU!$C:$C,MATCH(B176,T2_GroupSKU!$A:$A,0)),T1_ProductType!$A:$A,0))="","-",INDEX(T1_ProductType!$E:$E,MATCH(INDEX(T2_GroupSKU!$C:$C,MATCH(B176,T2_GroupSKU!$A:$A,0)),T1_ProductType!$A:$A,0))),"-")</f>
        <v>Jerry Can / Carboy</v>
      </c>
      <c r="H176" s="10">
        <f t="array" ref="H176">IFERROR(IF(INDEX(T2_GroupSKU!$D:$D,MATCH(B176,T2_GroupSKU!$A:$A,0))="","-",INDEX(T2_GroupSKU!$D:$D,MATCH(B176,T2_GroupSKU!$A:$A,0))),"-")</f>
        <v>35</v>
      </c>
      <c r="I176" s="10" t="str">
        <f t="array" ref="I176">IFERROR(IF(INDEX(T2_GroupSKU!$E:$E,MATCH(B176,T2_GroupSKU!$A:$A,0))="","-",INDEX(T2_GroupSKU!$E:$E,MATCH(B176,T2_GroupSKU!$A:$A,0))),"-")</f>
        <v>LTR</v>
      </c>
      <c r="J176" s="10" t="str">
        <f>T3_SKU!C176</f>
        <v>Black / 2.0 KG</v>
      </c>
      <c r="K176" s="10" t="str">
        <f>T3_SKU!D176</f>
        <v>35 LTR BLACK J/C 2.0 KG</v>
      </c>
      <c r="L176" s="10" t="str">
        <f>T3_SKU!E176</f>
        <v>NOS</v>
      </c>
      <c r="M176" s="10" t="str">
        <f>T3_SKU!F176</f>
        <v>39233090</v>
      </c>
    </row>
    <row r="177" ht="15.0" customHeight="1">
      <c r="A177" s="10" t="str">
        <f>T3_SKU!A177</f>
        <v>JC-35-BLU-16KG</v>
      </c>
      <c r="B177" s="10" t="str">
        <f>T3_SKU!B177</f>
        <v>JC-35</v>
      </c>
      <c r="C177" s="10" t="str">
        <f t="array" ref="C177">IFERROR(INDEX(T2_GroupSKU!$B:$B,MATCH(B177,T2_GroupSKU!$A:$A,0)),"")</f>
        <v>Jerry Can - 35.0 LTR</v>
      </c>
      <c r="D177" s="10" t="str">
        <f t="array" ref="D177">IFERROR(INDEX(T1_ProductType!$B:$B,MATCH(INDEX(T2_GroupSKU!$C:$C,MATCH(B177,T2_GroupSKU!$A:$A,0)),T1_ProductType!$A:$A,0)),"")</f>
        <v>Jerry Can</v>
      </c>
      <c r="E177" s="10" t="str">
        <f t="array" ref="E177">IFERROR(INDEX(T1_ProductType!$C:$C,MATCH(INDEX(T2_GroupSKU!$C:$C,MATCH(B177,T2_GroupSKU!$A:$A,0)),T1_ProductType!$A:$A,0)),"")</f>
        <v>Can</v>
      </c>
      <c r="F177" s="10" t="str">
        <f t="array" ref="F177">IFERROR(INDEX(T1_ProductType!$D:$D,MATCH(INDEX(T2_GroupSKU!$C:$C,MATCH(B177,T2_GroupSKU!$A:$A,0)),T1_ProductType!$A:$A,0)),"")</f>
        <v>Plastic Barrels</v>
      </c>
      <c r="G177" s="10" t="str">
        <f t="array" ref="G177">IFERROR(IF(INDEX(T1_ProductType!$E:$E,MATCH(INDEX(T2_GroupSKU!$C:$C,MATCH(B177,T2_GroupSKU!$A:$A,0)),T1_ProductType!$A:$A,0))="","-",INDEX(T1_ProductType!$E:$E,MATCH(INDEX(T2_GroupSKU!$C:$C,MATCH(B177,T2_GroupSKU!$A:$A,0)),T1_ProductType!$A:$A,0))),"-")</f>
        <v>Jerry Can / Carboy</v>
      </c>
      <c r="H177" s="10">
        <f t="array" ref="H177">IFERROR(IF(INDEX(T2_GroupSKU!$D:$D,MATCH(B177,T2_GroupSKU!$A:$A,0))="","-",INDEX(T2_GroupSKU!$D:$D,MATCH(B177,T2_GroupSKU!$A:$A,0))),"-")</f>
        <v>35</v>
      </c>
      <c r="I177" s="10" t="str">
        <f t="array" ref="I177">IFERROR(IF(INDEX(T2_GroupSKU!$E:$E,MATCH(B177,T2_GroupSKU!$A:$A,0))="","-",INDEX(T2_GroupSKU!$E:$E,MATCH(B177,T2_GroupSKU!$A:$A,0))),"-")</f>
        <v>LTR</v>
      </c>
      <c r="J177" s="10" t="str">
        <f>T3_SKU!C177</f>
        <v>Blue / 1.6 KG</v>
      </c>
      <c r="K177" s="10" t="str">
        <f>T3_SKU!D177</f>
        <v>35 LTR BLUE J/C 1.6 KG</v>
      </c>
      <c r="L177" s="10" t="str">
        <f>T3_SKU!E177</f>
        <v>NOS</v>
      </c>
      <c r="M177" s="10" t="str">
        <f>T3_SKU!F177</f>
        <v>39233090</v>
      </c>
    </row>
    <row r="178" ht="15.0" customHeight="1">
      <c r="A178" s="10" t="str">
        <f>T3_SKU!A178</f>
        <v>JC-35-BLU-176KG</v>
      </c>
      <c r="B178" s="10" t="str">
        <f>T3_SKU!B178</f>
        <v>JC-35</v>
      </c>
      <c r="C178" s="10" t="str">
        <f t="array" ref="C178">IFERROR(INDEX(T2_GroupSKU!$B:$B,MATCH(B178,T2_GroupSKU!$A:$A,0)),"")</f>
        <v>Jerry Can - 35.0 LTR</v>
      </c>
      <c r="D178" s="10" t="str">
        <f t="array" ref="D178">IFERROR(INDEX(T1_ProductType!$B:$B,MATCH(INDEX(T2_GroupSKU!$C:$C,MATCH(B178,T2_GroupSKU!$A:$A,0)),T1_ProductType!$A:$A,0)),"")</f>
        <v>Jerry Can</v>
      </c>
      <c r="E178" s="10" t="str">
        <f t="array" ref="E178">IFERROR(INDEX(T1_ProductType!$C:$C,MATCH(INDEX(T2_GroupSKU!$C:$C,MATCH(B178,T2_GroupSKU!$A:$A,0)),T1_ProductType!$A:$A,0)),"")</f>
        <v>Can</v>
      </c>
      <c r="F178" s="10" t="str">
        <f t="array" ref="F178">IFERROR(INDEX(T1_ProductType!$D:$D,MATCH(INDEX(T2_GroupSKU!$C:$C,MATCH(B178,T2_GroupSKU!$A:$A,0)),T1_ProductType!$A:$A,0)),"")</f>
        <v>Plastic Barrels</v>
      </c>
      <c r="G178" s="10" t="str">
        <f t="array" ref="G178">IFERROR(IF(INDEX(T1_ProductType!$E:$E,MATCH(INDEX(T2_GroupSKU!$C:$C,MATCH(B178,T2_GroupSKU!$A:$A,0)),T1_ProductType!$A:$A,0))="","-",INDEX(T1_ProductType!$E:$E,MATCH(INDEX(T2_GroupSKU!$C:$C,MATCH(B178,T2_GroupSKU!$A:$A,0)),T1_ProductType!$A:$A,0))),"-")</f>
        <v>Jerry Can / Carboy</v>
      </c>
      <c r="H178" s="10">
        <f t="array" ref="H178">IFERROR(IF(INDEX(T2_GroupSKU!$D:$D,MATCH(B178,T2_GroupSKU!$A:$A,0))="","-",INDEX(T2_GroupSKU!$D:$D,MATCH(B178,T2_GroupSKU!$A:$A,0))),"-")</f>
        <v>35</v>
      </c>
      <c r="I178" s="10" t="str">
        <f t="array" ref="I178">IFERROR(IF(INDEX(T2_GroupSKU!$E:$E,MATCH(B178,T2_GroupSKU!$A:$A,0))="","-",INDEX(T2_GroupSKU!$E:$E,MATCH(B178,T2_GroupSKU!$A:$A,0))),"-")</f>
        <v>LTR</v>
      </c>
      <c r="J178" s="10" t="str">
        <f>T3_SKU!C178</f>
        <v>Blue / 1.76 KG</v>
      </c>
      <c r="K178" s="10" t="str">
        <f>T3_SKU!D178</f>
        <v>35 LTR BLUE J/C 1.760 KG</v>
      </c>
      <c r="L178" s="10" t="str">
        <f>T3_SKU!E178</f>
        <v>NOS</v>
      </c>
      <c r="M178" s="10" t="str">
        <f>T3_SKU!F178</f>
        <v>39233090</v>
      </c>
    </row>
    <row r="179" ht="15.0" customHeight="1">
      <c r="A179" s="10" t="str">
        <f>T3_SKU!A179</f>
        <v>JC-35-BLU-18KG-1</v>
      </c>
      <c r="B179" s="10" t="str">
        <f>T3_SKU!B179</f>
        <v>JC-35</v>
      </c>
      <c r="C179" s="10" t="str">
        <f t="array" ref="C179">IFERROR(INDEX(T2_GroupSKU!$B:$B,MATCH(B179,T2_GroupSKU!$A:$A,0)),"")</f>
        <v>Jerry Can - 35.0 LTR</v>
      </c>
      <c r="D179" s="10" t="str">
        <f t="array" ref="D179">IFERROR(INDEX(T1_ProductType!$B:$B,MATCH(INDEX(T2_GroupSKU!$C:$C,MATCH(B179,T2_GroupSKU!$A:$A,0)),T1_ProductType!$A:$A,0)),"")</f>
        <v>Jerry Can</v>
      </c>
      <c r="E179" s="10" t="str">
        <f t="array" ref="E179">IFERROR(INDEX(T1_ProductType!$C:$C,MATCH(INDEX(T2_GroupSKU!$C:$C,MATCH(B179,T2_GroupSKU!$A:$A,0)),T1_ProductType!$A:$A,0)),"")</f>
        <v>Can</v>
      </c>
      <c r="F179" s="10" t="str">
        <f t="array" ref="F179">IFERROR(INDEX(T1_ProductType!$D:$D,MATCH(INDEX(T2_GroupSKU!$C:$C,MATCH(B179,T2_GroupSKU!$A:$A,0)),T1_ProductType!$A:$A,0)),"")</f>
        <v>Plastic Barrels</v>
      </c>
      <c r="G179" s="10" t="str">
        <f t="array" ref="G179">IFERROR(IF(INDEX(T1_ProductType!$E:$E,MATCH(INDEX(T2_GroupSKU!$C:$C,MATCH(B179,T2_GroupSKU!$A:$A,0)),T1_ProductType!$A:$A,0))="","-",INDEX(T1_ProductType!$E:$E,MATCH(INDEX(T2_GroupSKU!$C:$C,MATCH(B179,T2_GroupSKU!$A:$A,0)),T1_ProductType!$A:$A,0))),"-")</f>
        <v>Jerry Can / Carboy</v>
      </c>
      <c r="H179" s="10">
        <f t="array" ref="H179">IFERROR(IF(INDEX(T2_GroupSKU!$D:$D,MATCH(B179,T2_GroupSKU!$A:$A,0))="","-",INDEX(T2_GroupSKU!$D:$D,MATCH(B179,T2_GroupSKU!$A:$A,0))),"-")</f>
        <v>35</v>
      </c>
      <c r="I179" s="10" t="str">
        <f t="array" ref="I179">IFERROR(IF(INDEX(T2_GroupSKU!$E:$E,MATCH(B179,T2_GroupSKU!$A:$A,0))="","-",INDEX(T2_GroupSKU!$E:$E,MATCH(B179,T2_GroupSKU!$A:$A,0))),"-")</f>
        <v>LTR</v>
      </c>
      <c r="J179" s="10" t="str">
        <f>T3_SKU!C179</f>
        <v>Blue / 1.8 KG</v>
      </c>
      <c r="K179" s="10" t="str">
        <f>T3_SKU!D179</f>
        <v>35 LTR BLUE  J/C 1.8 KG</v>
      </c>
      <c r="L179" s="10" t="str">
        <f>T3_SKU!E179</f>
        <v>NOS</v>
      </c>
      <c r="M179" s="10" t="str">
        <f>T3_SKU!F179</f>
        <v>39233090</v>
      </c>
    </row>
    <row r="180" ht="15.0" customHeight="1">
      <c r="A180" s="10" t="str">
        <f>T3_SKU!A180</f>
        <v>JC-35-BLU-18KG-2</v>
      </c>
      <c r="B180" s="10" t="str">
        <f>T3_SKU!B180</f>
        <v>JC-35</v>
      </c>
      <c r="C180" s="10" t="str">
        <f t="array" ref="C180">IFERROR(INDEX(T2_GroupSKU!$B:$B,MATCH(B180,T2_GroupSKU!$A:$A,0)),"")</f>
        <v>Jerry Can - 35.0 LTR</v>
      </c>
      <c r="D180" s="10" t="str">
        <f t="array" ref="D180">IFERROR(INDEX(T1_ProductType!$B:$B,MATCH(INDEX(T2_GroupSKU!$C:$C,MATCH(B180,T2_GroupSKU!$A:$A,0)),T1_ProductType!$A:$A,0)),"")</f>
        <v>Jerry Can</v>
      </c>
      <c r="E180" s="10" t="str">
        <f t="array" ref="E180">IFERROR(INDEX(T1_ProductType!$C:$C,MATCH(INDEX(T2_GroupSKU!$C:$C,MATCH(B180,T2_GroupSKU!$A:$A,0)),T1_ProductType!$A:$A,0)),"")</f>
        <v>Can</v>
      </c>
      <c r="F180" s="10" t="str">
        <f t="array" ref="F180">IFERROR(INDEX(T1_ProductType!$D:$D,MATCH(INDEX(T2_GroupSKU!$C:$C,MATCH(B180,T2_GroupSKU!$A:$A,0)),T1_ProductType!$A:$A,0)),"")</f>
        <v>Plastic Barrels</v>
      </c>
      <c r="G180" s="10" t="str">
        <f t="array" ref="G180">IFERROR(IF(INDEX(T1_ProductType!$E:$E,MATCH(INDEX(T2_GroupSKU!$C:$C,MATCH(B180,T2_GroupSKU!$A:$A,0)),T1_ProductType!$A:$A,0))="","-",INDEX(T1_ProductType!$E:$E,MATCH(INDEX(T2_GroupSKU!$C:$C,MATCH(B180,T2_GroupSKU!$A:$A,0)),T1_ProductType!$A:$A,0))),"-")</f>
        <v>Jerry Can / Carboy</v>
      </c>
      <c r="H180" s="10">
        <f t="array" ref="H180">IFERROR(IF(INDEX(T2_GroupSKU!$D:$D,MATCH(B180,T2_GroupSKU!$A:$A,0))="","-",INDEX(T2_GroupSKU!$D:$D,MATCH(B180,T2_GroupSKU!$A:$A,0))),"-")</f>
        <v>35</v>
      </c>
      <c r="I180" s="10" t="str">
        <f t="array" ref="I180">IFERROR(IF(INDEX(T2_GroupSKU!$E:$E,MATCH(B180,T2_GroupSKU!$A:$A,0))="","-",INDEX(T2_GroupSKU!$E:$E,MATCH(B180,T2_GroupSKU!$A:$A,0))),"-")</f>
        <v>LTR</v>
      </c>
      <c r="J180" s="10" t="str">
        <f>T3_SKU!C180</f>
        <v>Blue / 1.8 KG</v>
      </c>
      <c r="K180" s="10" t="str">
        <f>T3_SKU!D180</f>
        <v>35 LTR BLUE J/C 1.8 KG</v>
      </c>
      <c r="L180" s="10" t="str">
        <f>T3_SKU!E180</f>
        <v>NOS</v>
      </c>
      <c r="M180" s="10" t="str">
        <f>T3_SKU!F180</f>
        <v>39233090</v>
      </c>
    </row>
    <row r="181" ht="15.0" customHeight="1">
      <c r="A181" s="10" t="str">
        <f>T3_SKU!A181</f>
        <v>JC-35-BLU-19KG</v>
      </c>
      <c r="B181" s="10" t="str">
        <f>T3_SKU!B181</f>
        <v>JC-35</v>
      </c>
      <c r="C181" s="10" t="str">
        <f t="array" ref="C181">IFERROR(INDEX(T2_GroupSKU!$B:$B,MATCH(B181,T2_GroupSKU!$A:$A,0)),"")</f>
        <v>Jerry Can - 35.0 LTR</v>
      </c>
      <c r="D181" s="10" t="str">
        <f t="array" ref="D181">IFERROR(INDEX(T1_ProductType!$B:$B,MATCH(INDEX(T2_GroupSKU!$C:$C,MATCH(B181,T2_GroupSKU!$A:$A,0)),T1_ProductType!$A:$A,0)),"")</f>
        <v>Jerry Can</v>
      </c>
      <c r="E181" s="10" t="str">
        <f t="array" ref="E181">IFERROR(INDEX(T1_ProductType!$C:$C,MATCH(INDEX(T2_GroupSKU!$C:$C,MATCH(B181,T2_GroupSKU!$A:$A,0)),T1_ProductType!$A:$A,0)),"")</f>
        <v>Can</v>
      </c>
      <c r="F181" s="10" t="str">
        <f t="array" ref="F181">IFERROR(INDEX(T1_ProductType!$D:$D,MATCH(INDEX(T2_GroupSKU!$C:$C,MATCH(B181,T2_GroupSKU!$A:$A,0)),T1_ProductType!$A:$A,0)),"")</f>
        <v>Plastic Barrels</v>
      </c>
      <c r="G181" s="10" t="str">
        <f t="array" ref="G181">IFERROR(IF(INDEX(T1_ProductType!$E:$E,MATCH(INDEX(T2_GroupSKU!$C:$C,MATCH(B181,T2_GroupSKU!$A:$A,0)),T1_ProductType!$A:$A,0))="","-",INDEX(T1_ProductType!$E:$E,MATCH(INDEX(T2_GroupSKU!$C:$C,MATCH(B181,T2_GroupSKU!$A:$A,0)),T1_ProductType!$A:$A,0))),"-")</f>
        <v>Jerry Can / Carboy</v>
      </c>
      <c r="H181" s="10">
        <f t="array" ref="H181">IFERROR(IF(INDEX(T2_GroupSKU!$D:$D,MATCH(B181,T2_GroupSKU!$A:$A,0))="","-",INDEX(T2_GroupSKU!$D:$D,MATCH(B181,T2_GroupSKU!$A:$A,0))),"-")</f>
        <v>35</v>
      </c>
      <c r="I181" s="10" t="str">
        <f t="array" ref="I181">IFERROR(IF(INDEX(T2_GroupSKU!$E:$E,MATCH(B181,T2_GroupSKU!$A:$A,0))="","-",INDEX(T2_GroupSKU!$E:$E,MATCH(B181,T2_GroupSKU!$A:$A,0))),"-")</f>
        <v>LTR</v>
      </c>
      <c r="J181" s="10" t="str">
        <f>T3_SKU!C181</f>
        <v>Blue / 1.9 KG</v>
      </c>
      <c r="K181" s="10" t="str">
        <f>T3_SKU!D181</f>
        <v>35 LTR BLUE J/C 1.9 KG</v>
      </c>
      <c r="L181" s="10" t="str">
        <f>T3_SKU!E181</f>
        <v>NOS</v>
      </c>
      <c r="M181" s="10" t="str">
        <f>T3_SKU!F181</f>
        <v>39233090</v>
      </c>
    </row>
    <row r="182" ht="15.0" customHeight="1">
      <c r="A182" s="10" t="str">
        <f>T3_SKU!A182</f>
        <v>JC-35-BLU-20KG-1</v>
      </c>
      <c r="B182" s="10" t="str">
        <f>T3_SKU!B182</f>
        <v>JC-35</v>
      </c>
      <c r="C182" s="10" t="str">
        <f t="array" ref="C182">IFERROR(INDEX(T2_GroupSKU!$B:$B,MATCH(B182,T2_GroupSKU!$A:$A,0)),"")</f>
        <v>Jerry Can - 35.0 LTR</v>
      </c>
      <c r="D182" s="10" t="str">
        <f t="array" ref="D182">IFERROR(INDEX(T1_ProductType!$B:$B,MATCH(INDEX(T2_GroupSKU!$C:$C,MATCH(B182,T2_GroupSKU!$A:$A,0)),T1_ProductType!$A:$A,0)),"")</f>
        <v>Jerry Can</v>
      </c>
      <c r="E182" s="10" t="str">
        <f t="array" ref="E182">IFERROR(INDEX(T1_ProductType!$C:$C,MATCH(INDEX(T2_GroupSKU!$C:$C,MATCH(B182,T2_GroupSKU!$A:$A,0)),T1_ProductType!$A:$A,0)),"")</f>
        <v>Can</v>
      </c>
      <c r="F182" s="10" t="str">
        <f t="array" ref="F182">IFERROR(INDEX(T1_ProductType!$D:$D,MATCH(INDEX(T2_GroupSKU!$C:$C,MATCH(B182,T2_GroupSKU!$A:$A,0)),T1_ProductType!$A:$A,0)),"")</f>
        <v>Plastic Barrels</v>
      </c>
      <c r="G182" s="10" t="str">
        <f t="array" ref="G182">IFERROR(IF(INDEX(T1_ProductType!$E:$E,MATCH(INDEX(T2_GroupSKU!$C:$C,MATCH(B182,T2_GroupSKU!$A:$A,0)),T1_ProductType!$A:$A,0))="","-",INDEX(T1_ProductType!$E:$E,MATCH(INDEX(T2_GroupSKU!$C:$C,MATCH(B182,T2_GroupSKU!$A:$A,0)),T1_ProductType!$A:$A,0))),"-")</f>
        <v>Jerry Can / Carboy</v>
      </c>
      <c r="H182" s="10">
        <f t="array" ref="H182">IFERROR(IF(INDEX(T2_GroupSKU!$D:$D,MATCH(B182,T2_GroupSKU!$A:$A,0))="","-",INDEX(T2_GroupSKU!$D:$D,MATCH(B182,T2_GroupSKU!$A:$A,0))),"-")</f>
        <v>35</v>
      </c>
      <c r="I182" s="10" t="str">
        <f t="array" ref="I182">IFERROR(IF(INDEX(T2_GroupSKU!$E:$E,MATCH(B182,T2_GroupSKU!$A:$A,0))="","-",INDEX(T2_GroupSKU!$E:$E,MATCH(B182,T2_GroupSKU!$A:$A,0))),"-")</f>
        <v>LTR</v>
      </c>
      <c r="J182" s="10" t="str">
        <f>T3_SKU!C182</f>
        <v>Blue / 2.0 KG</v>
      </c>
      <c r="K182" s="10" t="str">
        <f>T3_SKU!D182</f>
        <v>35 LTR BLUE J/C 2.0 KG</v>
      </c>
      <c r="L182" s="10" t="str">
        <f>T3_SKU!E182</f>
        <v>NOS</v>
      </c>
      <c r="M182" s="10" t="str">
        <f>T3_SKU!F182</f>
        <v>39233090</v>
      </c>
    </row>
    <row r="183" ht="15.0" customHeight="1">
      <c r="A183" s="10" t="str">
        <f>T3_SKU!A183</f>
        <v>JC-35-BLU-20KG-2</v>
      </c>
      <c r="B183" s="10" t="str">
        <f>T3_SKU!B183</f>
        <v>JC-35</v>
      </c>
      <c r="C183" s="10" t="str">
        <f t="array" ref="C183">IFERROR(INDEX(T2_GroupSKU!$B:$B,MATCH(B183,T2_GroupSKU!$A:$A,0)),"")</f>
        <v>Jerry Can - 35.0 LTR</v>
      </c>
      <c r="D183" s="10" t="str">
        <f t="array" ref="D183">IFERROR(INDEX(T1_ProductType!$B:$B,MATCH(INDEX(T2_GroupSKU!$C:$C,MATCH(B183,T2_GroupSKU!$A:$A,0)),T1_ProductType!$A:$A,0)),"")</f>
        <v>Jerry Can</v>
      </c>
      <c r="E183" s="10" t="str">
        <f t="array" ref="E183">IFERROR(INDEX(T1_ProductType!$C:$C,MATCH(INDEX(T2_GroupSKU!$C:$C,MATCH(B183,T2_GroupSKU!$A:$A,0)),T1_ProductType!$A:$A,0)),"")</f>
        <v>Can</v>
      </c>
      <c r="F183" s="10" t="str">
        <f t="array" ref="F183">IFERROR(INDEX(T1_ProductType!$D:$D,MATCH(INDEX(T2_GroupSKU!$C:$C,MATCH(B183,T2_GroupSKU!$A:$A,0)),T1_ProductType!$A:$A,0)),"")</f>
        <v>Plastic Barrels</v>
      </c>
      <c r="G183" s="10" t="str">
        <f t="array" ref="G183">IFERROR(IF(INDEX(T1_ProductType!$E:$E,MATCH(INDEX(T2_GroupSKU!$C:$C,MATCH(B183,T2_GroupSKU!$A:$A,0)),T1_ProductType!$A:$A,0))="","-",INDEX(T1_ProductType!$E:$E,MATCH(INDEX(T2_GroupSKU!$C:$C,MATCH(B183,T2_GroupSKU!$A:$A,0)),T1_ProductType!$A:$A,0))),"-")</f>
        <v>Jerry Can / Carboy</v>
      </c>
      <c r="H183" s="10">
        <f t="array" ref="H183">IFERROR(IF(INDEX(T2_GroupSKU!$D:$D,MATCH(B183,T2_GroupSKU!$A:$A,0))="","-",INDEX(T2_GroupSKU!$D:$D,MATCH(B183,T2_GroupSKU!$A:$A,0))),"-")</f>
        <v>35</v>
      </c>
      <c r="I183" s="10" t="str">
        <f t="array" ref="I183">IFERROR(IF(INDEX(T2_GroupSKU!$E:$E,MATCH(B183,T2_GroupSKU!$A:$A,0))="","-",INDEX(T2_GroupSKU!$E:$E,MATCH(B183,T2_GroupSKU!$A:$A,0))),"-")</f>
        <v>LTR</v>
      </c>
      <c r="J183" s="10" t="str">
        <f>T3_SKU!C183</f>
        <v>Blue / 2.0 KG</v>
      </c>
      <c r="K183" s="10" t="str">
        <f>T3_SKU!D183</f>
        <v>35 LTR BLUE J/C 2.0 KG</v>
      </c>
      <c r="L183" s="10" t="str">
        <f>T3_SKU!E183</f>
        <v>NOS</v>
      </c>
      <c r="M183" s="10" t="str">
        <f>T3_SKU!F183</f>
        <v>39233090</v>
      </c>
    </row>
    <row r="184" ht="15.0" customHeight="1">
      <c r="A184" s="10" t="str">
        <f>T3_SKU!A184</f>
        <v>JC-35-BLU-21KG</v>
      </c>
      <c r="B184" s="10" t="str">
        <f>T3_SKU!B184</f>
        <v>JC-35</v>
      </c>
      <c r="C184" s="10" t="str">
        <f t="array" ref="C184">IFERROR(INDEX(T2_GroupSKU!$B:$B,MATCH(B184,T2_GroupSKU!$A:$A,0)),"")</f>
        <v>Jerry Can - 35.0 LTR</v>
      </c>
      <c r="D184" s="10" t="str">
        <f t="array" ref="D184">IFERROR(INDEX(T1_ProductType!$B:$B,MATCH(INDEX(T2_GroupSKU!$C:$C,MATCH(B184,T2_GroupSKU!$A:$A,0)),T1_ProductType!$A:$A,0)),"")</f>
        <v>Jerry Can</v>
      </c>
      <c r="E184" s="10" t="str">
        <f t="array" ref="E184">IFERROR(INDEX(T1_ProductType!$C:$C,MATCH(INDEX(T2_GroupSKU!$C:$C,MATCH(B184,T2_GroupSKU!$A:$A,0)),T1_ProductType!$A:$A,0)),"")</f>
        <v>Can</v>
      </c>
      <c r="F184" s="10" t="str">
        <f t="array" ref="F184">IFERROR(INDEX(T1_ProductType!$D:$D,MATCH(INDEX(T2_GroupSKU!$C:$C,MATCH(B184,T2_GroupSKU!$A:$A,0)),T1_ProductType!$A:$A,0)),"")</f>
        <v>Plastic Barrels</v>
      </c>
      <c r="G184" s="10" t="str">
        <f t="array" ref="G184">IFERROR(IF(INDEX(T1_ProductType!$E:$E,MATCH(INDEX(T2_GroupSKU!$C:$C,MATCH(B184,T2_GroupSKU!$A:$A,0)),T1_ProductType!$A:$A,0))="","-",INDEX(T1_ProductType!$E:$E,MATCH(INDEX(T2_GroupSKU!$C:$C,MATCH(B184,T2_GroupSKU!$A:$A,0)),T1_ProductType!$A:$A,0))),"-")</f>
        <v>Jerry Can / Carboy</v>
      </c>
      <c r="H184" s="10">
        <f t="array" ref="H184">IFERROR(IF(INDEX(T2_GroupSKU!$D:$D,MATCH(B184,T2_GroupSKU!$A:$A,0))="","-",INDEX(T2_GroupSKU!$D:$D,MATCH(B184,T2_GroupSKU!$A:$A,0))),"-")</f>
        <v>35</v>
      </c>
      <c r="I184" s="10" t="str">
        <f t="array" ref="I184">IFERROR(IF(INDEX(T2_GroupSKU!$E:$E,MATCH(B184,T2_GroupSKU!$A:$A,0))="","-",INDEX(T2_GroupSKU!$E:$E,MATCH(B184,T2_GroupSKU!$A:$A,0))),"-")</f>
        <v>LTR</v>
      </c>
      <c r="J184" s="10" t="str">
        <f>T3_SKU!C184</f>
        <v>Blue / 2.1 KG</v>
      </c>
      <c r="K184" s="10" t="str">
        <f>T3_SKU!D184</f>
        <v>35 LTR BLUE J/C 2.1 KG</v>
      </c>
      <c r="L184" s="10" t="str">
        <f>T3_SKU!E184</f>
        <v>NOS</v>
      </c>
      <c r="M184" s="10" t="str">
        <f>T3_SKU!F184</f>
        <v>39233090</v>
      </c>
    </row>
    <row r="185" ht="15.0" customHeight="1">
      <c r="A185" s="10" t="str">
        <f>T3_SKU!A185</f>
        <v>JC-35-BLU-225KG</v>
      </c>
      <c r="B185" s="10" t="str">
        <f>T3_SKU!B185</f>
        <v>JC-35</v>
      </c>
      <c r="C185" s="10" t="str">
        <f t="array" ref="C185">IFERROR(INDEX(T2_GroupSKU!$B:$B,MATCH(B185,T2_GroupSKU!$A:$A,0)),"")</f>
        <v>Jerry Can - 35.0 LTR</v>
      </c>
      <c r="D185" s="10" t="str">
        <f t="array" ref="D185">IFERROR(INDEX(T1_ProductType!$B:$B,MATCH(INDEX(T2_GroupSKU!$C:$C,MATCH(B185,T2_GroupSKU!$A:$A,0)),T1_ProductType!$A:$A,0)),"")</f>
        <v>Jerry Can</v>
      </c>
      <c r="E185" s="10" t="str">
        <f t="array" ref="E185">IFERROR(INDEX(T1_ProductType!$C:$C,MATCH(INDEX(T2_GroupSKU!$C:$C,MATCH(B185,T2_GroupSKU!$A:$A,0)),T1_ProductType!$A:$A,0)),"")</f>
        <v>Can</v>
      </c>
      <c r="F185" s="10" t="str">
        <f t="array" ref="F185">IFERROR(INDEX(T1_ProductType!$D:$D,MATCH(INDEX(T2_GroupSKU!$C:$C,MATCH(B185,T2_GroupSKU!$A:$A,0)),T1_ProductType!$A:$A,0)),"")</f>
        <v>Plastic Barrels</v>
      </c>
      <c r="G185" s="10" t="str">
        <f t="array" ref="G185">IFERROR(IF(INDEX(T1_ProductType!$E:$E,MATCH(INDEX(T2_GroupSKU!$C:$C,MATCH(B185,T2_GroupSKU!$A:$A,0)),T1_ProductType!$A:$A,0))="","-",INDEX(T1_ProductType!$E:$E,MATCH(INDEX(T2_GroupSKU!$C:$C,MATCH(B185,T2_GroupSKU!$A:$A,0)),T1_ProductType!$A:$A,0))),"-")</f>
        <v>Jerry Can / Carboy</v>
      </c>
      <c r="H185" s="10">
        <f t="array" ref="H185">IFERROR(IF(INDEX(T2_GroupSKU!$D:$D,MATCH(B185,T2_GroupSKU!$A:$A,0))="","-",INDEX(T2_GroupSKU!$D:$D,MATCH(B185,T2_GroupSKU!$A:$A,0))),"-")</f>
        <v>35</v>
      </c>
      <c r="I185" s="10" t="str">
        <f t="array" ref="I185">IFERROR(IF(INDEX(T2_GroupSKU!$E:$E,MATCH(B185,T2_GroupSKU!$A:$A,0))="","-",INDEX(T2_GroupSKU!$E:$E,MATCH(B185,T2_GroupSKU!$A:$A,0))),"-")</f>
        <v>LTR</v>
      </c>
      <c r="J185" s="10" t="str">
        <f>T3_SKU!C185</f>
        <v>Blue / 2.25 KG</v>
      </c>
      <c r="K185" s="10" t="str">
        <f>T3_SKU!D185</f>
        <v>35 LTR BLUE J/C 2.25 KG</v>
      </c>
      <c r="L185" s="10" t="str">
        <f>T3_SKU!E185</f>
        <v>NOS</v>
      </c>
      <c r="M185" s="10" t="str">
        <f>T3_SKU!F185</f>
        <v>39233090</v>
      </c>
    </row>
    <row r="186" ht="15.0" customHeight="1">
      <c r="A186" s="10" t="str">
        <f>T3_SKU!A186</f>
        <v>JC-35-BLU-22KG</v>
      </c>
      <c r="B186" s="10" t="str">
        <f>T3_SKU!B186</f>
        <v>JC-35</v>
      </c>
      <c r="C186" s="10" t="str">
        <f t="array" ref="C186">IFERROR(INDEX(T2_GroupSKU!$B:$B,MATCH(B186,T2_GroupSKU!$A:$A,0)),"")</f>
        <v>Jerry Can - 35.0 LTR</v>
      </c>
      <c r="D186" s="10" t="str">
        <f t="array" ref="D186">IFERROR(INDEX(T1_ProductType!$B:$B,MATCH(INDEX(T2_GroupSKU!$C:$C,MATCH(B186,T2_GroupSKU!$A:$A,0)),T1_ProductType!$A:$A,0)),"")</f>
        <v>Jerry Can</v>
      </c>
      <c r="E186" s="10" t="str">
        <f t="array" ref="E186">IFERROR(INDEX(T1_ProductType!$C:$C,MATCH(INDEX(T2_GroupSKU!$C:$C,MATCH(B186,T2_GroupSKU!$A:$A,0)),T1_ProductType!$A:$A,0)),"")</f>
        <v>Can</v>
      </c>
      <c r="F186" s="10" t="str">
        <f t="array" ref="F186">IFERROR(INDEX(T1_ProductType!$D:$D,MATCH(INDEX(T2_GroupSKU!$C:$C,MATCH(B186,T2_GroupSKU!$A:$A,0)),T1_ProductType!$A:$A,0)),"")</f>
        <v>Plastic Barrels</v>
      </c>
      <c r="G186" s="10" t="str">
        <f t="array" ref="G186">IFERROR(IF(INDEX(T1_ProductType!$E:$E,MATCH(INDEX(T2_GroupSKU!$C:$C,MATCH(B186,T2_GroupSKU!$A:$A,0)),T1_ProductType!$A:$A,0))="","-",INDEX(T1_ProductType!$E:$E,MATCH(INDEX(T2_GroupSKU!$C:$C,MATCH(B186,T2_GroupSKU!$A:$A,0)),T1_ProductType!$A:$A,0))),"-")</f>
        <v>Jerry Can / Carboy</v>
      </c>
      <c r="H186" s="10">
        <f t="array" ref="H186">IFERROR(IF(INDEX(T2_GroupSKU!$D:$D,MATCH(B186,T2_GroupSKU!$A:$A,0))="","-",INDEX(T2_GroupSKU!$D:$D,MATCH(B186,T2_GroupSKU!$A:$A,0))),"-")</f>
        <v>35</v>
      </c>
      <c r="I186" s="10" t="str">
        <f t="array" ref="I186">IFERROR(IF(INDEX(T2_GroupSKU!$E:$E,MATCH(B186,T2_GroupSKU!$A:$A,0))="","-",INDEX(T2_GroupSKU!$E:$E,MATCH(B186,T2_GroupSKU!$A:$A,0))),"-")</f>
        <v>LTR</v>
      </c>
      <c r="J186" s="10" t="str">
        <f>T3_SKU!C186</f>
        <v>Blue / 2.2 KG</v>
      </c>
      <c r="K186" s="10" t="str">
        <f>T3_SKU!D186</f>
        <v>35 LTR BLUE J/C 2.2 KG</v>
      </c>
      <c r="L186" s="10" t="str">
        <f>T3_SKU!E186</f>
        <v>NOS</v>
      </c>
      <c r="M186" s="10" t="str">
        <f>T3_SKU!F186</f>
        <v>39233090</v>
      </c>
    </row>
    <row r="187" ht="15.0" customHeight="1">
      <c r="A187" s="10" t="str">
        <f>T3_SKU!A187</f>
        <v>JC-35-BLU-23KG</v>
      </c>
      <c r="B187" s="10" t="str">
        <f>T3_SKU!B187</f>
        <v>JC-35</v>
      </c>
      <c r="C187" s="10" t="str">
        <f t="array" ref="C187">IFERROR(INDEX(T2_GroupSKU!$B:$B,MATCH(B187,T2_GroupSKU!$A:$A,0)),"")</f>
        <v>Jerry Can - 35.0 LTR</v>
      </c>
      <c r="D187" s="10" t="str">
        <f t="array" ref="D187">IFERROR(INDEX(T1_ProductType!$B:$B,MATCH(INDEX(T2_GroupSKU!$C:$C,MATCH(B187,T2_GroupSKU!$A:$A,0)),T1_ProductType!$A:$A,0)),"")</f>
        <v>Jerry Can</v>
      </c>
      <c r="E187" s="10" t="str">
        <f t="array" ref="E187">IFERROR(INDEX(T1_ProductType!$C:$C,MATCH(INDEX(T2_GroupSKU!$C:$C,MATCH(B187,T2_GroupSKU!$A:$A,0)),T1_ProductType!$A:$A,0)),"")</f>
        <v>Can</v>
      </c>
      <c r="F187" s="10" t="str">
        <f t="array" ref="F187">IFERROR(INDEX(T1_ProductType!$D:$D,MATCH(INDEX(T2_GroupSKU!$C:$C,MATCH(B187,T2_GroupSKU!$A:$A,0)),T1_ProductType!$A:$A,0)),"")</f>
        <v>Plastic Barrels</v>
      </c>
      <c r="G187" s="10" t="str">
        <f t="array" ref="G187">IFERROR(IF(INDEX(T1_ProductType!$E:$E,MATCH(INDEX(T2_GroupSKU!$C:$C,MATCH(B187,T2_GroupSKU!$A:$A,0)),T1_ProductType!$A:$A,0))="","-",INDEX(T1_ProductType!$E:$E,MATCH(INDEX(T2_GroupSKU!$C:$C,MATCH(B187,T2_GroupSKU!$A:$A,0)),T1_ProductType!$A:$A,0))),"-")</f>
        <v>Jerry Can / Carboy</v>
      </c>
      <c r="H187" s="10">
        <f t="array" ref="H187">IFERROR(IF(INDEX(T2_GroupSKU!$D:$D,MATCH(B187,T2_GroupSKU!$A:$A,0))="","-",INDEX(T2_GroupSKU!$D:$D,MATCH(B187,T2_GroupSKU!$A:$A,0))),"-")</f>
        <v>35</v>
      </c>
      <c r="I187" s="10" t="str">
        <f t="array" ref="I187">IFERROR(IF(INDEX(T2_GroupSKU!$E:$E,MATCH(B187,T2_GroupSKU!$A:$A,0))="","-",INDEX(T2_GroupSKU!$E:$E,MATCH(B187,T2_GroupSKU!$A:$A,0))),"-")</f>
        <v>LTR</v>
      </c>
      <c r="J187" s="10" t="str">
        <f>T3_SKU!C187</f>
        <v>Blue / 2.3 KG</v>
      </c>
      <c r="K187" s="10" t="str">
        <f>T3_SKU!D187</f>
        <v>35 LTR BLUE J/C 2.300 KG</v>
      </c>
      <c r="L187" s="10" t="str">
        <f>T3_SKU!E187</f>
        <v>NOS</v>
      </c>
      <c r="M187" s="10" t="str">
        <f>T3_SKU!F187</f>
        <v>39233090</v>
      </c>
    </row>
    <row r="188" ht="15.0" customHeight="1">
      <c r="A188" s="10" t="str">
        <f>T3_SKU!A188</f>
        <v>JC-35-BLU-25KG</v>
      </c>
      <c r="B188" s="10" t="str">
        <f>T3_SKU!B188</f>
        <v>JC-35</v>
      </c>
      <c r="C188" s="10" t="str">
        <f t="array" ref="C188">IFERROR(INDEX(T2_GroupSKU!$B:$B,MATCH(B188,T2_GroupSKU!$A:$A,0)),"")</f>
        <v>Jerry Can - 35.0 LTR</v>
      </c>
      <c r="D188" s="10" t="str">
        <f t="array" ref="D188">IFERROR(INDEX(T1_ProductType!$B:$B,MATCH(INDEX(T2_GroupSKU!$C:$C,MATCH(B188,T2_GroupSKU!$A:$A,0)),T1_ProductType!$A:$A,0)),"")</f>
        <v>Jerry Can</v>
      </c>
      <c r="E188" s="10" t="str">
        <f t="array" ref="E188">IFERROR(INDEX(T1_ProductType!$C:$C,MATCH(INDEX(T2_GroupSKU!$C:$C,MATCH(B188,T2_GroupSKU!$A:$A,0)),T1_ProductType!$A:$A,0)),"")</f>
        <v>Can</v>
      </c>
      <c r="F188" s="10" t="str">
        <f t="array" ref="F188">IFERROR(INDEX(T1_ProductType!$D:$D,MATCH(INDEX(T2_GroupSKU!$C:$C,MATCH(B188,T2_GroupSKU!$A:$A,0)),T1_ProductType!$A:$A,0)),"")</f>
        <v>Plastic Barrels</v>
      </c>
      <c r="G188" s="10" t="str">
        <f t="array" ref="G188">IFERROR(IF(INDEX(T1_ProductType!$E:$E,MATCH(INDEX(T2_GroupSKU!$C:$C,MATCH(B188,T2_GroupSKU!$A:$A,0)),T1_ProductType!$A:$A,0))="","-",INDEX(T1_ProductType!$E:$E,MATCH(INDEX(T2_GroupSKU!$C:$C,MATCH(B188,T2_GroupSKU!$A:$A,0)),T1_ProductType!$A:$A,0))),"-")</f>
        <v>Jerry Can / Carboy</v>
      </c>
      <c r="H188" s="10">
        <f t="array" ref="H188">IFERROR(IF(INDEX(T2_GroupSKU!$D:$D,MATCH(B188,T2_GroupSKU!$A:$A,0))="","-",INDEX(T2_GroupSKU!$D:$D,MATCH(B188,T2_GroupSKU!$A:$A,0))),"-")</f>
        <v>35</v>
      </c>
      <c r="I188" s="10" t="str">
        <f t="array" ref="I188">IFERROR(IF(INDEX(T2_GroupSKU!$E:$E,MATCH(B188,T2_GroupSKU!$A:$A,0))="","-",INDEX(T2_GroupSKU!$E:$E,MATCH(B188,T2_GroupSKU!$A:$A,0))),"-")</f>
        <v>LTR</v>
      </c>
      <c r="J188" s="10" t="str">
        <f>T3_SKU!C188</f>
        <v>Blue / 2.5 KG</v>
      </c>
      <c r="K188" s="10" t="str">
        <f>T3_SKU!D188</f>
        <v>35 LTR BLUE J/C 2.5 KG</v>
      </c>
      <c r="L188" s="10" t="str">
        <f>T3_SKU!E188</f>
        <v>NOS</v>
      </c>
      <c r="M188" s="10" t="str">
        <f>T3_SKU!F188</f>
        <v>39233090</v>
      </c>
    </row>
    <row r="189" ht="15.0" customHeight="1">
      <c r="A189" s="10" t="str">
        <f>T3_SKU!A189</f>
        <v>JC-35-GRN-16KG</v>
      </c>
      <c r="B189" s="10" t="str">
        <f>T3_SKU!B189</f>
        <v>JC-35</v>
      </c>
      <c r="C189" s="10" t="str">
        <f t="array" ref="C189">IFERROR(INDEX(T2_GroupSKU!$B:$B,MATCH(B189,T2_GroupSKU!$A:$A,0)),"")</f>
        <v>Jerry Can - 35.0 LTR</v>
      </c>
      <c r="D189" s="10" t="str">
        <f t="array" ref="D189">IFERROR(INDEX(T1_ProductType!$B:$B,MATCH(INDEX(T2_GroupSKU!$C:$C,MATCH(B189,T2_GroupSKU!$A:$A,0)),T1_ProductType!$A:$A,0)),"")</f>
        <v>Jerry Can</v>
      </c>
      <c r="E189" s="10" t="str">
        <f t="array" ref="E189">IFERROR(INDEX(T1_ProductType!$C:$C,MATCH(INDEX(T2_GroupSKU!$C:$C,MATCH(B189,T2_GroupSKU!$A:$A,0)),T1_ProductType!$A:$A,0)),"")</f>
        <v>Can</v>
      </c>
      <c r="F189" s="10" t="str">
        <f t="array" ref="F189">IFERROR(INDEX(T1_ProductType!$D:$D,MATCH(INDEX(T2_GroupSKU!$C:$C,MATCH(B189,T2_GroupSKU!$A:$A,0)),T1_ProductType!$A:$A,0)),"")</f>
        <v>Plastic Barrels</v>
      </c>
      <c r="G189" s="10" t="str">
        <f t="array" ref="G189">IFERROR(IF(INDEX(T1_ProductType!$E:$E,MATCH(INDEX(T2_GroupSKU!$C:$C,MATCH(B189,T2_GroupSKU!$A:$A,0)),T1_ProductType!$A:$A,0))="","-",INDEX(T1_ProductType!$E:$E,MATCH(INDEX(T2_GroupSKU!$C:$C,MATCH(B189,T2_GroupSKU!$A:$A,0)),T1_ProductType!$A:$A,0))),"-")</f>
        <v>Jerry Can / Carboy</v>
      </c>
      <c r="H189" s="10">
        <f t="array" ref="H189">IFERROR(IF(INDEX(T2_GroupSKU!$D:$D,MATCH(B189,T2_GroupSKU!$A:$A,0))="","-",INDEX(T2_GroupSKU!$D:$D,MATCH(B189,T2_GroupSKU!$A:$A,0))),"-")</f>
        <v>35</v>
      </c>
      <c r="I189" s="10" t="str">
        <f t="array" ref="I189">IFERROR(IF(INDEX(T2_GroupSKU!$E:$E,MATCH(B189,T2_GroupSKU!$A:$A,0))="","-",INDEX(T2_GroupSKU!$E:$E,MATCH(B189,T2_GroupSKU!$A:$A,0))),"-")</f>
        <v>LTR</v>
      </c>
      <c r="J189" s="10" t="str">
        <f>T3_SKU!C189</f>
        <v>Green / 1.6 KG</v>
      </c>
      <c r="K189" s="10" t="str">
        <f>T3_SKU!D189</f>
        <v>35 LTR GREEN J/C 1.6 KG</v>
      </c>
      <c r="L189" s="10" t="str">
        <f>T3_SKU!E189</f>
        <v>NOS</v>
      </c>
      <c r="M189" s="10" t="str">
        <f>T3_SKU!F189</f>
        <v>39233090</v>
      </c>
    </row>
    <row r="190" ht="15.0" customHeight="1">
      <c r="A190" s="10" t="str">
        <f>T3_SKU!A190</f>
        <v>JC-35-YEL-18KG</v>
      </c>
      <c r="B190" s="10" t="str">
        <f>T3_SKU!B190</f>
        <v>JC-35</v>
      </c>
      <c r="C190" s="10" t="str">
        <f t="array" ref="C190">IFERROR(INDEX(T2_GroupSKU!$B:$B,MATCH(B190,T2_GroupSKU!$A:$A,0)),"")</f>
        <v>Jerry Can - 35.0 LTR</v>
      </c>
      <c r="D190" s="10" t="str">
        <f t="array" ref="D190">IFERROR(INDEX(T1_ProductType!$B:$B,MATCH(INDEX(T2_GroupSKU!$C:$C,MATCH(B190,T2_GroupSKU!$A:$A,0)),T1_ProductType!$A:$A,0)),"")</f>
        <v>Jerry Can</v>
      </c>
      <c r="E190" s="10" t="str">
        <f t="array" ref="E190">IFERROR(INDEX(T1_ProductType!$C:$C,MATCH(INDEX(T2_GroupSKU!$C:$C,MATCH(B190,T2_GroupSKU!$A:$A,0)),T1_ProductType!$A:$A,0)),"")</f>
        <v>Can</v>
      </c>
      <c r="F190" s="10" t="str">
        <f t="array" ref="F190">IFERROR(INDEX(T1_ProductType!$D:$D,MATCH(INDEX(T2_GroupSKU!$C:$C,MATCH(B190,T2_GroupSKU!$A:$A,0)),T1_ProductType!$A:$A,0)),"")</f>
        <v>Plastic Barrels</v>
      </c>
      <c r="G190" s="10" t="str">
        <f t="array" ref="G190">IFERROR(IF(INDEX(T1_ProductType!$E:$E,MATCH(INDEX(T2_GroupSKU!$C:$C,MATCH(B190,T2_GroupSKU!$A:$A,0)),T1_ProductType!$A:$A,0))="","-",INDEX(T1_ProductType!$E:$E,MATCH(INDEX(T2_GroupSKU!$C:$C,MATCH(B190,T2_GroupSKU!$A:$A,0)),T1_ProductType!$A:$A,0))),"-")</f>
        <v>Jerry Can / Carboy</v>
      </c>
      <c r="H190" s="10">
        <f t="array" ref="H190">IFERROR(IF(INDEX(T2_GroupSKU!$D:$D,MATCH(B190,T2_GroupSKU!$A:$A,0))="","-",INDEX(T2_GroupSKU!$D:$D,MATCH(B190,T2_GroupSKU!$A:$A,0))),"-")</f>
        <v>35</v>
      </c>
      <c r="I190" s="10" t="str">
        <f t="array" ref="I190">IFERROR(IF(INDEX(T2_GroupSKU!$E:$E,MATCH(B190,T2_GroupSKU!$A:$A,0))="","-",INDEX(T2_GroupSKU!$E:$E,MATCH(B190,T2_GroupSKU!$A:$A,0))),"-")</f>
        <v>LTR</v>
      </c>
      <c r="J190" s="10" t="str">
        <f>T3_SKU!C190</f>
        <v>Yellow / 1.8 KG</v>
      </c>
      <c r="K190" s="10" t="str">
        <f>T3_SKU!D190</f>
        <v>35 LTR YELLOW J/C 1.8 KG</v>
      </c>
      <c r="L190" s="10" t="str">
        <f>T3_SKU!E190</f>
        <v>NOS</v>
      </c>
      <c r="M190" s="10" t="str">
        <f>T3_SKU!F190</f>
        <v>39233090</v>
      </c>
    </row>
    <row r="191" ht="15.0" customHeight="1">
      <c r="A191" s="10" t="str">
        <f>T3_SKU!A191</f>
        <v>JC-35-YEL-20KG</v>
      </c>
      <c r="B191" s="10" t="str">
        <f>T3_SKU!B191</f>
        <v>JC-35</v>
      </c>
      <c r="C191" s="10" t="str">
        <f t="array" ref="C191">IFERROR(INDEX(T2_GroupSKU!$B:$B,MATCH(B191,T2_GroupSKU!$A:$A,0)),"")</f>
        <v>Jerry Can - 35.0 LTR</v>
      </c>
      <c r="D191" s="10" t="str">
        <f t="array" ref="D191">IFERROR(INDEX(T1_ProductType!$B:$B,MATCH(INDEX(T2_GroupSKU!$C:$C,MATCH(B191,T2_GroupSKU!$A:$A,0)),T1_ProductType!$A:$A,0)),"")</f>
        <v>Jerry Can</v>
      </c>
      <c r="E191" s="10" t="str">
        <f t="array" ref="E191">IFERROR(INDEX(T1_ProductType!$C:$C,MATCH(INDEX(T2_GroupSKU!$C:$C,MATCH(B191,T2_GroupSKU!$A:$A,0)),T1_ProductType!$A:$A,0)),"")</f>
        <v>Can</v>
      </c>
      <c r="F191" s="10" t="str">
        <f t="array" ref="F191">IFERROR(INDEX(T1_ProductType!$D:$D,MATCH(INDEX(T2_GroupSKU!$C:$C,MATCH(B191,T2_GroupSKU!$A:$A,0)),T1_ProductType!$A:$A,0)),"")</f>
        <v>Plastic Barrels</v>
      </c>
      <c r="G191" s="10" t="str">
        <f t="array" ref="G191">IFERROR(IF(INDEX(T1_ProductType!$E:$E,MATCH(INDEX(T2_GroupSKU!$C:$C,MATCH(B191,T2_GroupSKU!$A:$A,0)),T1_ProductType!$A:$A,0))="","-",INDEX(T1_ProductType!$E:$E,MATCH(INDEX(T2_GroupSKU!$C:$C,MATCH(B191,T2_GroupSKU!$A:$A,0)),T1_ProductType!$A:$A,0))),"-")</f>
        <v>Jerry Can / Carboy</v>
      </c>
      <c r="H191" s="10">
        <f t="array" ref="H191">IFERROR(IF(INDEX(T2_GroupSKU!$D:$D,MATCH(B191,T2_GroupSKU!$A:$A,0))="","-",INDEX(T2_GroupSKU!$D:$D,MATCH(B191,T2_GroupSKU!$A:$A,0))),"-")</f>
        <v>35</v>
      </c>
      <c r="I191" s="10" t="str">
        <f t="array" ref="I191">IFERROR(IF(INDEX(T2_GroupSKU!$E:$E,MATCH(B191,T2_GroupSKU!$A:$A,0))="","-",INDEX(T2_GroupSKU!$E:$E,MATCH(B191,T2_GroupSKU!$A:$A,0))),"-")</f>
        <v>LTR</v>
      </c>
      <c r="J191" s="10" t="str">
        <f>T3_SKU!C191</f>
        <v>Yellow / 2.0 KG</v>
      </c>
      <c r="K191" s="10" t="str">
        <f>T3_SKU!D191</f>
        <v>35 LTR YELLOW J/C 2.0 kg</v>
      </c>
      <c r="L191" s="10" t="str">
        <f>T3_SKU!E191</f>
        <v>NOS</v>
      </c>
      <c r="M191" s="10" t="str">
        <f>T3_SKU!F191</f>
        <v>39233090</v>
      </c>
    </row>
    <row r="192" ht="15.0" customHeight="1">
      <c r="A192" s="10" t="str">
        <f>T3_SKU!A192</f>
        <v>JC-40-BLU-176KG</v>
      </c>
      <c r="B192" s="10" t="str">
        <f>T3_SKU!B192</f>
        <v>JC-40</v>
      </c>
      <c r="C192" s="10" t="str">
        <f t="array" ref="C192">IFERROR(INDEX(T2_GroupSKU!$B:$B,MATCH(B192,T2_GroupSKU!$A:$A,0)),"")</f>
        <v>Jerry Can - 40.0 LTR</v>
      </c>
      <c r="D192" s="10" t="str">
        <f t="array" ref="D192">IFERROR(INDEX(T1_ProductType!$B:$B,MATCH(INDEX(T2_GroupSKU!$C:$C,MATCH(B192,T2_GroupSKU!$A:$A,0)),T1_ProductType!$A:$A,0)),"")</f>
        <v>Jerry Can</v>
      </c>
      <c r="E192" s="10" t="str">
        <f t="array" ref="E192">IFERROR(INDEX(T1_ProductType!$C:$C,MATCH(INDEX(T2_GroupSKU!$C:$C,MATCH(B192,T2_GroupSKU!$A:$A,0)),T1_ProductType!$A:$A,0)),"")</f>
        <v>Can</v>
      </c>
      <c r="F192" s="10" t="str">
        <f t="array" ref="F192">IFERROR(INDEX(T1_ProductType!$D:$D,MATCH(INDEX(T2_GroupSKU!$C:$C,MATCH(B192,T2_GroupSKU!$A:$A,0)),T1_ProductType!$A:$A,0)),"")</f>
        <v>Plastic Barrels</v>
      </c>
      <c r="G192" s="10" t="str">
        <f t="array" ref="G192">IFERROR(IF(INDEX(T1_ProductType!$E:$E,MATCH(INDEX(T2_GroupSKU!$C:$C,MATCH(B192,T2_GroupSKU!$A:$A,0)),T1_ProductType!$A:$A,0))="","-",INDEX(T1_ProductType!$E:$E,MATCH(INDEX(T2_GroupSKU!$C:$C,MATCH(B192,T2_GroupSKU!$A:$A,0)),T1_ProductType!$A:$A,0))),"-")</f>
        <v>Jerry Can / Carboy</v>
      </c>
      <c r="H192" s="10">
        <f t="array" ref="H192">IFERROR(IF(INDEX(T2_GroupSKU!$D:$D,MATCH(B192,T2_GroupSKU!$A:$A,0))="","-",INDEX(T2_GroupSKU!$D:$D,MATCH(B192,T2_GroupSKU!$A:$A,0))),"-")</f>
        <v>40</v>
      </c>
      <c r="I192" s="10" t="str">
        <f t="array" ref="I192">IFERROR(IF(INDEX(T2_GroupSKU!$E:$E,MATCH(B192,T2_GroupSKU!$A:$A,0))="","-",INDEX(T2_GroupSKU!$E:$E,MATCH(B192,T2_GroupSKU!$A:$A,0))),"-")</f>
        <v>LTR</v>
      </c>
      <c r="J192" s="10" t="str">
        <f>T3_SKU!C192</f>
        <v>Blue / 1.76 KG</v>
      </c>
      <c r="K192" s="10" t="str">
        <f>T3_SKU!D192</f>
        <v>40 LTR BLUE J/C 1.76 KG</v>
      </c>
      <c r="L192" s="10" t="str">
        <f>T3_SKU!E192</f>
        <v>NOS</v>
      </c>
      <c r="M192" s="10" t="str">
        <f>T3_SKU!F192</f>
        <v>39233090</v>
      </c>
    </row>
    <row r="193" ht="15.0" customHeight="1">
      <c r="A193" s="10" t="str">
        <f>T3_SKU!A193</f>
        <v>JC-40-BLU-18KG-1</v>
      </c>
      <c r="B193" s="10" t="str">
        <f>T3_SKU!B193</f>
        <v>JC-40</v>
      </c>
      <c r="C193" s="10" t="str">
        <f t="array" ref="C193">IFERROR(INDEX(T2_GroupSKU!$B:$B,MATCH(B193,T2_GroupSKU!$A:$A,0)),"")</f>
        <v>Jerry Can - 40.0 LTR</v>
      </c>
      <c r="D193" s="10" t="str">
        <f t="array" ref="D193">IFERROR(INDEX(T1_ProductType!$B:$B,MATCH(INDEX(T2_GroupSKU!$C:$C,MATCH(B193,T2_GroupSKU!$A:$A,0)),T1_ProductType!$A:$A,0)),"")</f>
        <v>Jerry Can</v>
      </c>
      <c r="E193" s="10" t="str">
        <f t="array" ref="E193">IFERROR(INDEX(T1_ProductType!$C:$C,MATCH(INDEX(T2_GroupSKU!$C:$C,MATCH(B193,T2_GroupSKU!$A:$A,0)),T1_ProductType!$A:$A,0)),"")</f>
        <v>Can</v>
      </c>
      <c r="F193" s="10" t="str">
        <f t="array" ref="F193">IFERROR(INDEX(T1_ProductType!$D:$D,MATCH(INDEX(T2_GroupSKU!$C:$C,MATCH(B193,T2_GroupSKU!$A:$A,0)),T1_ProductType!$A:$A,0)),"")</f>
        <v>Plastic Barrels</v>
      </c>
      <c r="G193" s="10" t="str">
        <f t="array" ref="G193">IFERROR(IF(INDEX(T1_ProductType!$E:$E,MATCH(INDEX(T2_GroupSKU!$C:$C,MATCH(B193,T2_GroupSKU!$A:$A,0)),T1_ProductType!$A:$A,0))="","-",INDEX(T1_ProductType!$E:$E,MATCH(INDEX(T2_GroupSKU!$C:$C,MATCH(B193,T2_GroupSKU!$A:$A,0)),T1_ProductType!$A:$A,0))),"-")</f>
        <v>Jerry Can / Carboy</v>
      </c>
      <c r="H193" s="10">
        <f t="array" ref="H193">IFERROR(IF(INDEX(T2_GroupSKU!$D:$D,MATCH(B193,T2_GroupSKU!$A:$A,0))="","-",INDEX(T2_GroupSKU!$D:$D,MATCH(B193,T2_GroupSKU!$A:$A,0))),"-")</f>
        <v>40</v>
      </c>
      <c r="I193" s="10" t="str">
        <f t="array" ref="I193">IFERROR(IF(INDEX(T2_GroupSKU!$E:$E,MATCH(B193,T2_GroupSKU!$A:$A,0))="","-",INDEX(T2_GroupSKU!$E:$E,MATCH(B193,T2_GroupSKU!$A:$A,0))),"-")</f>
        <v>LTR</v>
      </c>
      <c r="J193" s="10" t="str">
        <f>T3_SKU!C193</f>
        <v>Blue / 1.8 KG</v>
      </c>
      <c r="K193" s="10" t="str">
        <f>T3_SKU!D193</f>
        <v>40 LTR BLUE J/C 1.8 KG</v>
      </c>
      <c r="L193" s="10" t="str">
        <f>T3_SKU!E193</f>
        <v>NOS</v>
      </c>
      <c r="M193" s="10" t="str">
        <f>T3_SKU!F193</f>
        <v>39233090</v>
      </c>
    </row>
    <row r="194" ht="15.0" customHeight="1">
      <c r="A194" s="10" t="str">
        <f>T3_SKU!A194</f>
        <v>JC-40-BLU-18KG-2</v>
      </c>
      <c r="B194" s="10" t="str">
        <f>T3_SKU!B194</f>
        <v>JC-40</v>
      </c>
      <c r="C194" s="10" t="str">
        <f t="array" ref="C194">IFERROR(INDEX(T2_GroupSKU!$B:$B,MATCH(B194,T2_GroupSKU!$A:$A,0)),"")</f>
        <v>Jerry Can - 40.0 LTR</v>
      </c>
      <c r="D194" s="10" t="str">
        <f t="array" ref="D194">IFERROR(INDEX(T1_ProductType!$B:$B,MATCH(INDEX(T2_GroupSKU!$C:$C,MATCH(B194,T2_GroupSKU!$A:$A,0)),T1_ProductType!$A:$A,0)),"")</f>
        <v>Jerry Can</v>
      </c>
      <c r="E194" s="10" t="str">
        <f t="array" ref="E194">IFERROR(INDEX(T1_ProductType!$C:$C,MATCH(INDEX(T2_GroupSKU!$C:$C,MATCH(B194,T2_GroupSKU!$A:$A,0)),T1_ProductType!$A:$A,0)),"")</f>
        <v>Can</v>
      </c>
      <c r="F194" s="10" t="str">
        <f t="array" ref="F194">IFERROR(INDEX(T1_ProductType!$D:$D,MATCH(INDEX(T2_GroupSKU!$C:$C,MATCH(B194,T2_GroupSKU!$A:$A,0)),T1_ProductType!$A:$A,0)),"")</f>
        <v>Plastic Barrels</v>
      </c>
      <c r="G194" s="10" t="str">
        <f t="array" ref="G194">IFERROR(IF(INDEX(T1_ProductType!$E:$E,MATCH(INDEX(T2_GroupSKU!$C:$C,MATCH(B194,T2_GroupSKU!$A:$A,0)),T1_ProductType!$A:$A,0))="","-",INDEX(T1_ProductType!$E:$E,MATCH(INDEX(T2_GroupSKU!$C:$C,MATCH(B194,T2_GroupSKU!$A:$A,0)),T1_ProductType!$A:$A,0))),"-")</f>
        <v>Jerry Can / Carboy</v>
      </c>
      <c r="H194" s="10">
        <f t="array" ref="H194">IFERROR(IF(INDEX(T2_GroupSKU!$D:$D,MATCH(B194,T2_GroupSKU!$A:$A,0))="","-",INDEX(T2_GroupSKU!$D:$D,MATCH(B194,T2_GroupSKU!$A:$A,0))),"-")</f>
        <v>40</v>
      </c>
      <c r="I194" s="10" t="str">
        <f t="array" ref="I194">IFERROR(IF(INDEX(T2_GroupSKU!$E:$E,MATCH(B194,T2_GroupSKU!$A:$A,0))="","-",INDEX(T2_GroupSKU!$E:$E,MATCH(B194,T2_GroupSKU!$A:$A,0))),"-")</f>
        <v>LTR</v>
      </c>
      <c r="J194" s="10" t="str">
        <f>T3_SKU!C194</f>
        <v>Blue / 1.8 KG</v>
      </c>
      <c r="K194" s="10" t="str">
        <f>T3_SKU!D194</f>
        <v>40 LTR BLUE SQUARE J/C 1.8 KG</v>
      </c>
      <c r="L194" s="10" t="str">
        <f>T3_SKU!E194</f>
        <v>NOS</v>
      </c>
      <c r="M194" s="10" t="str">
        <f>T3_SKU!F194</f>
        <v>39233090</v>
      </c>
    </row>
    <row r="195" ht="15.0" customHeight="1">
      <c r="A195" s="10" t="str">
        <f>T3_SKU!A195</f>
        <v>JC-40-BLU-20KG</v>
      </c>
      <c r="B195" s="10" t="str">
        <f>T3_SKU!B195</f>
        <v>JC-40</v>
      </c>
      <c r="C195" s="10" t="str">
        <f t="array" ref="C195">IFERROR(INDEX(T2_GroupSKU!$B:$B,MATCH(B195,T2_GroupSKU!$A:$A,0)),"")</f>
        <v>Jerry Can - 40.0 LTR</v>
      </c>
      <c r="D195" s="10" t="str">
        <f t="array" ref="D195">IFERROR(INDEX(T1_ProductType!$B:$B,MATCH(INDEX(T2_GroupSKU!$C:$C,MATCH(B195,T2_GroupSKU!$A:$A,0)),T1_ProductType!$A:$A,0)),"")</f>
        <v>Jerry Can</v>
      </c>
      <c r="E195" s="10" t="str">
        <f t="array" ref="E195">IFERROR(INDEX(T1_ProductType!$C:$C,MATCH(INDEX(T2_GroupSKU!$C:$C,MATCH(B195,T2_GroupSKU!$A:$A,0)),T1_ProductType!$A:$A,0)),"")</f>
        <v>Can</v>
      </c>
      <c r="F195" s="10" t="str">
        <f t="array" ref="F195">IFERROR(INDEX(T1_ProductType!$D:$D,MATCH(INDEX(T2_GroupSKU!$C:$C,MATCH(B195,T2_GroupSKU!$A:$A,0)),T1_ProductType!$A:$A,0)),"")</f>
        <v>Plastic Barrels</v>
      </c>
      <c r="G195" s="10" t="str">
        <f t="array" ref="G195">IFERROR(IF(INDEX(T1_ProductType!$E:$E,MATCH(INDEX(T2_GroupSKU!$C:$C,MATCH(B195,T2_GroupSKU!$A:$A,0)),T1_ProductType!$A:$A,0))="","-",INDEX(T1_ProductType!$E:$E,MATCH(INDEX(T2_GroupSKU!$C:$C,MATCH(B195,T2_GroupSKU!$A:$A,0)),T1_ProductType!$A:$A,0))),"-")</f>
        <v>Jerry Can / Carboy</v>
      </c>
      <c r="H195" s="10">
        <f t="array" ref="H195">IFERROR(IF(INDEX(T2_GroupSKU!$D:$D,MATCH(B195,T2_GroupSKU!$A:$A,0))="","-",INDEX(T2_GroupSKU!$D:$D,MATCH(B195,T2_GroupSKU!$A:$A,0))),"-")</f>
        <v>40</v>
      </c>
      <c r="I195" s="10" t="str">
        <f t="array" ref="I195">IFERROR(IF(INDEX(T2_GroupSKU!$E:$E,MATCH(B195,T2_GroupSKU!$A:$A,0))="","-",INDEX(T2_GroupSKU!$E:$E,MATCH(B195,T2_GroupSKU!$A:$A,0))),"-")</f>
        <v>LTR</v>
      </c>
      <c r="J195" s="10" t="str">
        <f>T3_SKU!C195</f>
        <v>Blue / 2.0 KG</v>
      </c>
      <c r="K195" s="10" t="str">
        <f>T3_SKU!D195</f>
        <v>40 LTR BLUE  J/C 2.0 kg</v>
      </c>
      <c r="L195" s="10" t="str">
        <f>T3_SKU!E195</f>
        <v>NOS</v>
      </c>
      <c r="M195" s="10" t="str">
        <f>T3_SKU!F195</f>
        <v>39233090</v>
      </c>
    </row>
    <row r="196" ht="15.0" customHeight="1">
      <c r="A196" s="10" t="str">
        <f>T3_SKU!A196</f>
        <v>LUG-BLK</v>
      </c>
      <c r="B196" s="10" t="str">
        <f>T3_SKU!B196</f>
        <v>LUG</v>
      </c>
      <c r="C196" s="10" t="str">
        <f t="array" ref="C196">IFERROR(INDEX(T2_GroupSKU!$B:$B,MATCH(B196,T2_GroupSKU!$A:$A,0)),"")</f>
        <v>Lugs</v>
      </c>
      <c r="D196" s="10" t="str">
        <f t="array" ref="D196">IFERROR(INDEX(T1_ProductType!$B:$B,MATCH(INDEX(T2_GroupSKU!$C:$C,MATCH(B196,T2_GroupSKU!$A:$A,0)),T1_ProductType!$A:$A,0)),"")</f>
        <v>Lugs</v>
      </c>
      <c r="E196" s="10" t="str">
        <f t="array" ref="E196">IFERROR(INDEX(T1_ProductType!$C:$C,MATCH(INDEX(T2_GroupSKU!$C:$C,MATCH(B196,T2_GroupSKU!$A:$A,0)),T1_ProductType!$A:$A,0)),"")</f>
        <v>Accessory</v>
      </c>
      <c r="F196" s="10" t="str">
        <f t="array" ref="F196">IFERROR(INDEX(T1_ProductType!$D:$D,MATCH(INDEX(T2_GroupSKU!$C:$C,MATCH(B196,T2_GroupSKU!$A:$A,0)),T1_ProductType!$A:$A,0)),"")</f>
        <v>Plastic Barrels</v>
      </c>
      <c r="G196" s="10" t="str">
        <f t="array" ref="G196">IFERROR(IF(INDEX(T1_ProductType!$E:$E,MATCH(INDEX(T2_GroupSKU!$C:$C,MATCH(B196,T2_GroupSKU!$A:$A,0)),T1_ProductType!$A:$A,0))="","-",INDEX(T1_ProductType!$E:$E,MATCH(INDEX(T2_GroupSKU!$C:$C,MATCH(B196,T2_GroupSKU!$A:$A,0)),T1_ProductType!$A:$A,0))),"-")</f>
        <v>-</v>
      </c>
      <c r="H196" s="10" t="str">
        <f t="array" ref="H196">IFERROR(IF(INDEX(T2_GroupSKU!$D:$D,MATCH(B196,T2_GroupSKU!$A:$A,0))="","-",INDEX(T2_GroupSKU!$D:$D,MATCH(B196,T2_GroupSKU!$A:$A,0))),"-")</f>
        <v>-</v>
      </c>
      <c r="I196" s="10" t="str">
        <f t="array" ref="I196">IFERROR(IF(INDEX(T2_GroupSKU!$E:$E,MATCH(B196,T2_GroupSKU!$A:$A,0))="","-",INDEX(T2_GroupSKU!$E:$E,MATCH(B196,T2_GroupSKU!$A:$A,0))),"-")</f>
        <v>-</v>
      </c>
      <c r="J196" s="10" t="str">
        <f>T3_SKU!C196</f>
        <v>Black</v>
      </c>
      <c r="K196" s="10" t="str">
        <f>T3_SKU!D196</f>
        <v>LUGS BLACK</v>
      </c>
      <c r="L196" s="10" t="str">
        <f>T3_SKU!E196</f>
        <v>NOS</v>
      </c>
      <c r="M196" s="10" t="str">
        <f>T3_SKU!F196</f>
        <v>39235010</v>
      </c>
    </row>
    <row r="197" ht="15.0" customHeight="1">
      <c r="A197" s="10" t="str">
        <f>T3_SKU!A197</f>
        <v>LUG-BLU</v>
      </c>
      <c r="B197" s="10" t="str">
        <f>T3_SKU!B197</f>
        <v>LUG</v>
      </c>
      <c r="C197" s="10" t="str">
        <f t="array" ref="C197">IFERROR(INDEX(T2_GroupSKU!$B:$B,MATCH(B197,T2_GroupSKU!$A:$A,0)),"")</f>
        <v>Lugs</v>
      </c>
      <c r="D197" s="10" t="str">
        <f t="array" ref="D197">IFERROR(INDEX(T1_ProductType!$B:$B,MATCH(INDEX(T2_GroupSKU!$C:$C,MATCH(B197,T2_GroupSKU!$A:$A,0)),T1_ProductType!$A:$A,0)),"")</f>
        <v>Lugs</v>
      </c>
      <c r="E197" s="10" t="str">
        <f t="array" ref="E197">IFERROR(INDEX(T1_ProductType!$C:$C,MATCH(INDEX(T2_GroupSKU!$C:$C,MATCH(B197,T2_GroupSKU!$A:$A,0)),T1_ProductType!$A:$A,0)),"")</f>
        <v>Accessory</v>
      </c>
      <c r="F197" s="10" t="str">
        <f t="array" ref="F197">IFERROR(INDEX(T1_ProductType!$D:$D,MATCH(INDEX(T2_GroupSKU!$C:$C,MATCH(B197,T2_GroupSKU!$A:$A,0)),T1_ProductType!$A:$A,0)),"")</f>
        <v>Plastic Barrels</v>
      </c>
      <c r="G197" s="10" t="str">
        <f t="array" ref="G197">IFERROR(IF(INDEX(T1_ProductType!$E:$E,MATCH(INDEX(T2_GroupSKU!$C:$C,MATCH(B197,T2_GroupSKU!$A:$A,0)),T1_ProductType!$A:$A,0))="","-",INDEX(T1_ProductType!$E:$E,MATCH(INDEX(T2_GroupSKU!$C:$C,MATCH(B197,T2_GroupSKU!$A:$A,0)),T1_ProductType!$A:$A,0))),"-")</f>
        <v>-</v>
      </c>
      <c r="H197" s="10" t="str">
        <f t="array" ref="H197">IFERROR(IF(INDEX(T2_GroupSKU!$D:$D,MATCH(B197,T2_GroupSKU!$A:$A,0))="","-",INDEX(T2_GroupSKU!$D:$D,MATCH(B197,T2_GroupSKU!$A:$A,0))),"-")</f>
        <v>-</v>
      </c>
      <c r="I197" s="10" t="str">
        <f t="array" ref="I197">IFERROR(IF(INDEX(T2_GroupSKU!$E:$E,MATCH(B197,T2_GroupSKU!$A:$A,0))="","-",INDEX(T2_GroupSKU!$E:$E,MATCH(B197,T2_GroupSKU!$A:$A,0))),"-")</f>
        <v>-</v>
      </c>
      <c r="J197" s="10" t="str">
        <f>T3_SKU!C197</f>
        <v>Blue</v>
      </c>
      <c r="K197" s="10" t="str">
        <f>T3_SKU!D197</f>
        <v>LUGS BLUE</v>
      </c>
      <c r="L197" s="10" t="str">
        <f>T3_SKU!E197</f>
        <v>NOS</v>
      </c>
      <c r="M197" s="10" t="str">
        <f>T3_SKU!F197</f>
        <v>39235010</v>
      </c>
    </row>
    <row r="198" ht="15.0" customHeight="1">
      <c r="A198" s="10" t="str">
        <f>T3_SKU!A198</f>
        <v>LUG-GRN</v>
      </c>
      <c r="B198" s="10" t="str">
        <f>T3_SKU!B198</f>
        <v>LUG</v>
      </c>
      <c r="C198" s="10" t="str">
        <f t="array" ref="C198">IFERROR(INDEX(T2_GroupSKU!$B:$B,MATCH(B198,T2_GroupSKU!$A:$A,0)),"")</f>
        <v>Lugs</v>
      </c>
      <c r="D198" s="10" t="str">
        <f t="array" ref="D198">IFERROR(INDEX(T1_ProductType!$B:$B,MATCH(INDEX(T2_GroupSKU!$C:$C,MATCH(B198,T2_GroupSKU!$A:$A,0)),T1_ProductType!$A:$A,0)),"")</f>
        <v>Lugs</v>
      </c>
      <c r="E198" s="10" t="str">
        <f t="array" ref="E198">IFERROR(INDEX(T1_ProductType!$C:$C,MATCH(INDEX(T2_GroupSKU!$C:$C,MATCH(B198,T2_GroupSKU!$A:$A,0)),T1_ProductType!$A:$A,0)),"")</f>
        <v>Accessory</v>
      </c>
      <c r="F198" s="10" t="str">
        <f t="array" ref="F198">IFERROR(INDEX(T1_ProductType!$D:$D,MATCH(INDEX(T2_GroupSKU!$C:$C,MATCH(B198,T2_GroupSKU!$A:$A,0)),T1_ProductType!$A:$A,0)),"")</f>
        <v>Plastic Barrels</v>
      </c>
      <c r="G198" s="10" t="str">
        <f t="array" ref="G198">IFERROR(IF(INDEX(T1_ProductType!$E:$E,MATCH(INDEX(T2_GroupSKU!$C:$C,MATCH(B198,T2_GroupSKU!$A:$A,0)),T1_ProductType!$A:$A,0))="","-",INDEX(T1_ProductType!$E:$E,MATCH(INDEX(T2_GroupSKU!$C:$C,MATCH(B198,T2_GroupSKU!$A:$A,0)),T1_ProductType!$A:$A,0))),"-")</f>
        <v>-</v>
      </c>
      <c r="H198" s="10" t="str">
        <f t="array" ref="H198">IFERROR(IF(INDEX(T2_GroupSKU!$D:$D,MATCH(B198,T2_GroupSKU!$A:$A,0))="","-",INDEX(T2_GroupSKU!$D:$D,MATCH(B198,T2_GroupSKU!$A:$A,0))),"-")</f>
        <v>-</v>
      </c>
      <c r="I198" s="10" t="str">
        <f t="array" ref="I198">IFERROR(IF(INDEX(T2_GroupSKU!$E:$E,MATCH(B198,T2_GroupSKU!$A:$A,0))="","-",INDEX(T2_GroupSKU!$E:$E,MATCH(B198,T2_GroupSKU!$A:$A,0))),"-")</f>
        <v>-</v>
      </c>
      <c r="J198" s="10" t="str">
        <f>T3_SKU!C198</f>
        <v>Green</v>
      </c>
      <c r="K198" s="10" t="str">
        <f>T3_SKU!D198</f>
        <v>LUGS GREEN</v>
      </c>
      <c r="L198" s="10" t="str">
        <f>T3_SKU!E198</f>
        <v>NOS</v>
      </c>
      <c r="M198" s="10" t="str">
        <f>T3_SKU!F198</f>
        <v>39235010</v>
      </c>
    </row>
    <row r="199" ht="15.0" customHeight="1">
      <c r="A199" s="10" t="str">
        <f>T3_SKU!A199</f>
        <v>LUG-ORG</v>
      </c>
      <c r="B199" s="10" t="str">
        <f>T3_SKU!B199</f>
        <v>LUG</v>
      </c>
      <c r="C199" s="10" t="str">
        <f t="array" ref="C199">IFERROR(INDEX(T2_GroupSKU!$B:$B,MATCH(B199,T2_GroupSKU!$A:$A,0)),"")</f>
        <v>Lugs</v>
      </c>
      <c r="D199" s="10" t="str">
        <f t="array" ref="D199">IFERROR(INDEX(T1_ProductType!$B:$B,MATCH(INDEX(T2_GroupSKU!$C:$C,MATCH(B199,T2_GroupSKU!$A:$A,0)),T1_ProductType!$A:$A,0)),"")</f>
        <v>Lugs</v>
      </c>
      <c r="E199" s="10" t="str">
        <f t="array" ref="E199">IFERROR(INDEX(T1_ProductType!$C:$C,MATCH(INDEX(T2_GroupSKU!$C:$C,MATCH(B199,T2_GroupSKU!$A:$A,0)),T1_ProductType!$A:$A,0)),"")</f>
        <v>Accessory</v>
      </c>
      <c r="F199" s="10" t="str">
        <f t="array" ref="F199">IFERROR(INDEX(T1_ProductType!$D:$D,MATCH(INDEX(T2_GroupSKU!$C:$C,MATCH(B199,T2_GroupSKU!$A:$A,0)),T1_ProductType!$A:$A,0)),"")</f>
        <v>Plastic Barrels</v>
      </c>
      <c r="G199" s="10" t="str">
        <f t="array" ref="G199">IFERROR(IF(INDEX(T1_ProductType!$E:$E,MATCH(INDEX(T2_GroupSKU!$C:$C,MATCH(B199,T2_GroupSKU!$A:$A,0)),T1_ProductType!$A:$A,0))="","-",INDEX(T1_ProductType!$E:$E,MATCH(INDEX(T2_GroupSKU!$C:$C,MATCH(B199,T2_GroupSKU!$A:$A,0)),T1_ProductType!$A:$A,0))),"-")</f>
        <v>-</v>
      </c>
      <c r="H199" s="10" t="str">
        <f t="array" ref="H199">IFERROR(IF(INDEX(T2_GroupSKU!$D:$D,MATCH(B199,T2_GroupSKU!$A:$A,0))="","-",INDEX(T2_GroupSKU!$D:$D,MATCH(B199,T2_GroupSKU!$A:$A,0))),"-")</f>
        <v>-</v>
      </c>
      <c r="I199" s="10" t="str">
        <f t="array" ref="I199">IFERROR(IF(INDEX(T2_GroupSKU!$E:$E,MATCH(B199,T2_GroupSKU!$A:$A,0))="","-",INDEX(T2_GroupSKU!$E:$E,MATCH(B199,T2_GroupSKU!$A:$A,0))),"-")</f>
        <v>-</v>
      </c>
      <c r="J199" s="10" t="str">
        <f>T3_SKU!C199</f>
        <v>Orange</v>
      </c>
      <c r="K199" s="10" t="str">
        <f>T3_SKU!D199</f>
        <v>LUGS ORANGE</v>
      </c>
      <c r="L199" s="10" t="str">
        <f>T3_SKU!E199</f>
        <v>NOS</v>
      </c>
      <c r="M199" s="10" t="str">
        <f>T3_SKU!F199</f>
        <v>39235010</v>
      </c>
    </row>
    <row r="200" ht="15.0" customHeight="1">
      <c r="A200" s="10" t="str">
        <f>T3_SKU!A200</f>
        <v>LUG-WHT</v>
      </c>
      <c r="B200" s="10" t="str">
        <f>T3_SKU!B200</f>
        <v>LUG</v>
      </c>
      <c r="C200" s="10" t="str">
        <f t="array" ref="C200">IFERROR(INDEX(T2_GroupSKU!$B:$B,MATCH(B200,T2_GroupSKU!$A:$A,0)),"")</f>
        <v>Lugs</v>
      </c>
      <c r="D200" s="10" t="str">
        <f t="array" ref="D200">IFERROR(INDEX(T1_ProductType!$B:$B,MATCH(INDEX(T2_GroupSKU!$C:$C,MATCH(B200,T2_GroupSKU!$A:$A,0)),T1_ProductType!$A:$A,0)),"")</f>
        <v>Lugs</v>
      </c>
      <c r="E200" s="10" t="str">
        <f t="array" ref="E200">IFERROR(INDEX(T1_ProductType!$C:$C,MATCH(INDEX(T2_GroupSKU!$C:$C,MATCH(B200,T2_GroupSKU!$A:$A,0)),T1_ProductType!$A:$A,0)),"")</f>
        <v>Accessory</v>
      </c>
      <c r="F200" s="10" t="str">
        <f t="array" ref="F200">IFERROR(INDEX(T1_ProductType!$D:$D,MATCH(INDEX(T2_GroupSKU!$C:$C,MATCH(B200,T2_GroupSKU!$A:$A,0)),T1_ProductType!$A:$A,0)),"")</f>
        <v>Plastic Barrels</v>
      </c>
      <c r="G200" s="10" t="str">
        <f t="array" ref="G200">IFERROR(IF(INDEX(T1_ProductType!$E:$E,MATCH(INDEX(T2_GroupSKU!$C:$C,MATCH(B200,T2_GroupSKU!$A:$A,0)),T1_ProductType!$A:$A,0))="","-",INDEX(T1_ProductType!$E:$E,MATCH(INDEX(T2_GroupSKU!$C:$C,MATCH(B200,T2_GroupSKU!$A:$A,0)),T1_ProductType!$A:$A,0))),"-")</f>
        <v>-</v>
      </c>
      <c r="H200" s="10" t="str">
        <f t="array" ref="H200">IFERROR(IF(INDEX(T2_GroupSKU!$D:$D,MATCH(B200,T2_GroupSKU!$A:$A,0))="","-",INDEX(T2_GroupSKU!$D:$D,MATCH(B200,T2_GroupSKU!$A:$A,0))),"-")</f>
        <v>-</v>
      </c>
      <c r="I200" s="10" t="str">
        <f t="array" ref="I200">IFERROR(IF(INDEX(T2_GroupSKU!$E:$E,MATCH(B200,T2_GroupSKU!$A:$A,0))="","-",INDEX(T2_GroupSKU!$E:$E,MATCH(B200,T2_GroupSKU!$A:$A,0))),"-")</f>
        <v>-</v>
      </c>
      <c r="J200" s="10" t="str">
        <f>T3_SKU!C200</f>
        <v>White</v>
      </c>
      <c r="K200" s="10" t="str">
        <f>T3_SKU!D200</f>
        <v>LUGS WHITE</v>
      </c>
      <c r="L200" s="10" t="str">
        <f>T3_SKU!E200</f>
        <v>NOS</v>
      </c>
      <c r="M200" s="10" t="str">
        <f>T3_SKU!F200</f>
        <v>39235010</v>
      </c>
    </row>
    <row r="201" ht="15.0" customHeight="1">
      <c r="A201" s="10" t="str">
        <f>T3_SKU!A201</f>
        <v>MISC-RED</v>
      </c>
      <c r="B201" s="10" t="str">
        <f>T3_SKU!B201</f>
        <v>MISC</v>
      </c>
      <c r="C201" s="10" t="str">
        <f t="array" ref="C201">IFERROR(INDEX(T2_GroupSKU!$B:$B,MATCH(B201,T2_GroupSKU!$A:$A,0)),"")</f>
        <v>Other Accessory</v>
      </c>
      <c r="D201" s="10" t="str">
        <f t="array" ref="D201">IFERROR(INDEX(T1_ProductType!$B:$B,MATCH(INDEX(T2_GroupSKU!$C:$C,MATCH(B201,T2_GroupSKU!$A:$A,0)),T1_ProductType!$A:$A,0)),"")</f>
        <v>Other Accessory</v>
      </c>
      <c r="E201" s="10" t="str">
        <f t="array" ref="E201">IFERROR(INDEX(T1_ProductType!$C:$C,MATCH(INDEX(T2_GroupSKU!$C:$C,MATCH(B201,T2_GroupSKU!$A:$A,0)),T1_ProductType!$A:$A,0)),"")</f>
        <v>Accessory</v>
      </c>
      <c r="F201" s="10" t="str">
        <f t="array" ref="F201">IFERROR(INDEX(T1_ProductType!$D:$D,MATCH(INDEX(T2_GroupSKU!$C:$C,MATCH(B201,T2_GroupSKU!$A:$A,0)),T1_ProductType!$A:$A,0)),"")</f>
        <v>Plastic Barrels</v>
      </c>
      <c r="G201" s="10" t="str">
        <f t="array" ref="G201">IFERROR(IF(INDEX(T1_ProductType!$E:$E,MATCH(INDEX(T2_GroupSKU!$C:$C,MATCH(B201,T2_GroupSKU!$A:$A,0)),T1_ProductType!$A:$A,0))="","-",INDEX(T1_ProductType!$E:$E,MATCH(INDEX(T2_GroupSKU!$C:$C,MATCH(B201,T2_GroupSKU!$A:$A,0)),T1_ProductType!$A:$A,0))),"-")</f>
        <v>-</v>
      </c>
      <c r="H201" s="10" t="str">
        <f t="array" ref="H201">IFERROR(IF(INDEX(T2_GroupSKU!$D:$D,MATCH(B201,T2_GroupSKU!$A:$A,0))="","-",INDEX(T2_GroupSKU!$D:$D,MATCH(B201,T2_GroupSKU!$A:$A,0))),"-")</f>
        <v>-</v>
      </c>
      <c r="I201" s="10" t="str">
        <f t="array" ref="I201">IFERROR(IF(INDEX(T2_GroupSKU!$E:$E,MATCH(B201,T2_GroupSKU!$A:$A,0))="","-",INDEX(T2_GroupSKU!$E:$E,MATCH(B201,T2_GroupSKU!$A:$A,0))),"-")</f>
        <v>-</v>
      </c>
      <c r="J201" s="10" t="str">
        <f>T3_SKU!C201</f>
        <v>Red</v>
      </c>
      <c r="K201" s="10" t="str">
        <f>T3_SKU!D201</f>
        <v>PLASTIC CAPSEAL (RED)</v>
      </c>
      <c r="L201" s="10" t="str">
        <f>T3_SKU!E201</f>
        <v>NOS</v>
      </c>
      <c r="M201" s="10" t="str">
        <f>T3_SKU!F201</f>
        <v>               </v>
      </c>
    </row>
    <row r="202" ht="15.0" customHeight="1">
      <c r="A202" s="10" t="str">
        <f>T3_SKU!A202</f>
        <v>MSRING-10IN-WHT</v>
      </c>
      <c r="B202" s="10" t="str">
        <f>T3_SKU!B202</f>
        <v>MSRING-10IN</v>
      </c>
      <c r="C202" s="10" t="str">
        <f t="array" ref="C202">IFERROR(INDEX(T2_GroupSKU!$B:$B,MATCH(B202,T2_GroupSKU!$A:$A,0)),"")</f>
        <v>MS Ring - 10.0"</v>
      </c>
      <c r="D202" s="10" t="str">
        <f t="array" ref="D202">IFERROR(INDEX(T1_ProductType!$B:$B,MATCH(INDEX(T2_GroupSKU!$C:$C,MATCH(B202,T2_GroupSKU!$A:$A,0)),T1_ProductType!$A:$A,0)),"")</f>
        <v>MS Ring</v>
      </c>
      <c r="E202" s="10" t="str">
        <f t="array" ref="E202">IFERROR(INDEX(T1_ProductType!$C:$C,MATCH(INDEX(T2_GroupSKU!$C:$C,MATCH(B202,T2_GroupSKU!$A:$A,0)),T1_ProductType!$A:$A,0)),"")</f>
        <v>Accessory</v>
      </c>
      <c r="F202" s="10" t="str">
        <f t="array" ref="F202">IFERROR(INDEX(T1_ProductType!$D:$D,MATCH(INDEX(T2_GroupSKU!$C:$C,MATCH(B202,T2_GroupSKU!$A:$A,0)),T1_ProductType!$A:$A,0)),"")</f>
        <v>Plastic Barrels</v>
      </c>
      <c r="G202" s="10" t="str">
        <f t="array" ref="G202">IFERROR(IF(INDEX(T1_ProductType!$E:$E,MATCH(INDEX(T2_GroupSKU!$C:$C,MATCH(B202,T2_GroupSKU!$A:$A,0)),T1_ProductType!$A:$A,0))="","-",INDEX(T1_ProductType!$E:$E,MATCH(INDEX(T2_GroupSKU!$C:$C,MATCH(B202,T2_GroupSKU!$A:$A,0)),T1_ProductType!$A:$A,0))),"-")</f>
        <v>-</v>
      </c>
      <c r="H202" s="10">
        <f t="array" ref="H202">IFERROR(IF(INDEX(T2_GroupSKU!$D:$D,MATCH(B202,T2_GroupSKU!$A:$A,0))="","-",INDEX(T2_GroupSKU!$D:$D,MATCH(B202,T2_GroupSKU!$A:$A,0))),"-")</f>
        <v>10</v>
      </c>
      <c r="I202" s="10" t="str">
        <f t="array" ref="I202">IFERROR(IF(INDEX(T2_GroupSKU!$E:$E,MATCH(B202,T2_GroupSKU!$A:$A,0))="","-",INDEX(T2_GroupSKU!$E:$E,MATCH(B202,T2_GroupSKU!$A:$A,0))),"-")</f>
        <v>INCH</v>
      </c>
      <c r="J202" s="10" t="str">
        <f>T3_SKU!C202</f>
        <v>White</v>
      </c>
      <c r="K202" s="10" t="str">
        <f>T3_SKU!D202</f>
        <v>10" MS RING WHITE</v>
      </c>
      <c r="L202" s="10" t="str">
        <f>T3_SKU!E202</f>
        <v>NOS</v>
      </c>
      <c r="M202" s="10" t="str">
        <f>T3_SKU!F202</f>
        <v>               </v>
      </c>
    </row>
    <row r="203" ht="15.0" customHeight="1">
      <c r="A203" s="10" t="str">
        <f>T3_SKU!A203</f>
        <v>MSRING-10IN-YEL</v>
      </c>
      <c r="B203" s="10" t="str">
        <f>T3_SKU!B203</f>
        <v>MSRING-10IN</v>
      </c>
      <c r="C203" s="10" t="str">
        <f t="array" ref="C203">IFERROR(INDEX(T2_GroupSKU!$B:$B,MATCH(B203,T2_GroupSKU!$A:$A,0)),"")</f>
        <v>MS Ring - 10.0"</v>
      </c>
      <c r="D203" s="10" t="str">
        <f t="array" ref="D203">IFERROR(INDEX(T1_ProductType!$B:$B,MATCH(INDEX(T2_GroupSKU!$C:$C,MATCH(B203,T2_GroupSKU!$A:$A,0)),T1_ProductType!$A:$A,0)),"")</f>
        <v>MS Ring</v>
      </c>
      <c r="E203" s="10" t="str">
        <f t="array" ref="E203">IFERROR(INDEX(T1_ProductType!$C:$C,MATCH(INDEX(T2_GroupSKU!$C:$C,MATCH(B203,T2_GroupSKU!$A:$A,0)),T1_ProductType!$A:$A,0)),"")</f>
        <v>Accessory</v>
      </c>
      <c r="F203" s="10" t="str">
        <f t="array" ref="F203">IFERROR(INDEX(T1_ProductType!$D:$D,MATCH(INDEX(T2_GroupSKU!$C:$C,MATCH(B203,T2_GroupSKU!$A:$A,0)),T1_ProductType!$A:$A,0)),"")</f>
        <v>Plastic Barrels</v>
      </c>
      <c r="G203" s="10" t="str">
        <f t="array" ref="G203">IFERROR(IF(INDEX(T1_ProductType!$E:$E,MATCH(INDEX(T2_GroupSKU!$C:$C,MATCH(B203,T2_GroupSKU!$A:$A,0)),T1_ProductType!$A:$A,0))="","-",INDEX(T1_ProductType!$E:$E,MATCH(INDEX(T2_GroupSKU!$C:$C,MATCH(B203,T2_GroupSKU!$A:$A,0)),T1_ProductType!$A:$A,0))),"-")</f>
        <v>-</v>
      </c>
      <c r="H203" s="10">
        <f t="array" ref="H203">IFERROR(IF(INDEX(T2_GroupSKU!$D:$D,MATCH(B203,T2_GroupSKU!$A:$A,0))="","-",INDEX(T2_GroupSKU!$D:$D,MATCH(B203,T2_GroupSKU!$A:$A,0))),"-")</f>
        <v>10</v>
      </c>
      <c r="I203" s="10" t="str">
        <f t="array" ref="I203">IFERROR(IF(INDEX(T2_GroupSKU!$E:$E,MATCH(B203,T2_GroupSKU!$A:$A,0))="","-",INDEX(T2_GroupSKU!$E:$E,MATCH(B203,T2_GroupSKU!$A:$A,0))),"-")</f>
        <v>INCH</v>
      </c>
      <c r="J203" s="10" t="str">
        <f>T3_SKU!C203</f>
        <v>Yellow</v>
      </c>
      <c r="K203" s="10" t="str">
        <f>T3_SKU!D203</f>
        <v>10" MS RING YELLOW</v>
      </c>
      <c r="L203" s="10" t="str">
        <f>T3_SKU!E203</f>
        <v>NOS</v>
      </c>
      <c r="M203" s="10" t="str">
        <f>T3_SKU!F203</f>
        <v>               </v>
      </c>
    </row>
    <row r="204" ht="15.0" customHeight="1">
      <c r="A204" s="10" t="str">
        <f>T3_SKU!A204</f>
        <v>MSRING-14IN-BLK</v>
      </c>
      <c r="B204" s="10" t="str">
        <f>T3_SKU!B204</f>
        <v>MSRING-14IN</v>
      </c>
      <c r="C204" s="10" t="str">
        <f t="array" ref="C204">IFERROR(INDEX(T2_GroupSKU!$B:$B,MATCH(B204,T2_GroupSKU!$A:$A,0)),"")</f>
        <v>MS Ring - 14.0"</v>
      </c>
      <c r="D204" s="10" t="str">
        <f t="array" ref="D204">IFERROR(INDEX(T1_ProductType!$B:$B,MATCH(INDEX(T2_GroupSKU!$C:$C,MATCH(B204,T2_GroupSKU!$A:$A,0)),T1_ProductType!$A:$A,0)),"")</f>
        <v>MS Ring</v>
      </c>
      <c r="E204" s="10" t="str">
        <f t="array" ref="E204">IFERROR(INDEX(T1_ProductType!$C:$C,MATCH(INDEX(T2_GroupSKU!$C:$C,MATCH(B204,T2_GroupSKU!$A:$A,0)),T1_ProductType!$A:$A,0)),"")</f>
        <v>Accessory</v>
      </c>
      <c r="F204" s="10" t="str">
        <f t="array" ref="F204">IFERROR(INDEX(T1_ProductType!$D:$D,MATCH(INDEX(T2_GroupSKU!$C:$C,MATCH(B204,T2_GroupSKU!$A:$A,0)),T1_ProductType!$A:$A,0)),"")</f>
        <v>Plastic Barrels</v>
      </c>
      <c r="G204" s="10" t="str">
        <f t="array" ref="G204">IFERROR(IF(INDEX(T1_ProductType!$E:$E,MATCH(INDEX(T2_GroupSKU!$C:$C,MATCH(B204,T2_GroupSKU!$A:$A,0)),T1_ProductType!$A:$A,0))="","-",INDEX(T1_ProductType!$E:$E,MATCH(INDEX(T2_GroupSKU!$C:$C,MATCH(B204,T2_GroupSKU!$A:$A,0)),T1_ProductType!$A:$A,0))),"-")</f>
        <v>-</v>
      </c>
      <c r="H204" s="10">
        <f t="array" ref="H204">IFERROR(IF(INDEX(T2_GroupSKU!$D:$D,MATCH(B204,T2_GroupSKU!$A:$A,0))="","-",INDEX(T2_GroupSKU!$D:$D,MATCH(B204,T2_GroupSKU!$A:$A,0))),"-")</f>
        <v>14</v>
      </c>
      <c r="I204" s="10" t="str">
        <f t="array" ref="I204">IFERROR(IF(INDEX(T2_GroupSKU!$E:$E,MATCH(B204,T2_GroupSKU!$A:$A,0))="","-",INDEX(T2_GroupSKU!$E:$E,MATCH(B204,T2_GroupSKU!$A:$A,0))),"-")</f>
        <v>INCH</v>
      </c>
      <c r="J204" s="10" t="str">
        <f>T3_SKU!C204</f>
        <v>Black</v>
      </c>
      <c r="K204" s="10" t="str">
        <f>T3_SKU!D204</f>
        <v>14" MS RING BLACK</v>
      </c>
      <c r="L204" s="10" t="str">
        <f>T3_SKU!E204</f>
        <v>NOS</v>
      </c>
      <c r="M204" s="10" t="str">
        <f>T3_SKU!F204</f>
        <v>73269099</v>
      </c>
    </row>
    <row r="205" ht="15.0" customHeight="1">
      <c r="A205" s="10" t="str">
        <f>T3_SKU!A205</f>
        <v>MSRING-14IN-GLD</v>
      </c>
      <c r="B205" s="10" t="str">
        <f>T3_SKU!B205</f>
        <v>MSRING-14IN</v>
      </c>
      <c r="C205" s="10" t="str">
        <f t="array" ref="C205">IFERROR(INDEX(T2_GroupSKU!$B:$B,MATCH(B205,T2_GroupSKU!$A:$A,0)),"")</f>
        <v>MS Ring - 14.0"</v>
      </c>
      <c r="D205" s="10" t="str">
        <f t="array" ref="D205">IFERROR(INDEX(T1_ProductType!$B:$B,MATCH(INDEX(T2_GroupSKU!$C:$C,MATCH(B205,T2_GroupSKU!$A:$A,0)),T1_ProductType!$A:$A,0)),"")</f>
        <v>MS Ring</v>
      </c>
      <c r="E205" s="10" t="str">
        <f t="array" ref="E205">IFERROR(INDEX(T1_ProductType!$C:$C,MATCH(INDEX(T2_GroupSKU!$C:$C,MATCH(B205,T2_GroupSKU!$A:$A,0)),T1_ProductType!$A:$A,0)),"")</f>
        <v>Accessory</v>
      </c>
      <c r="F205" s="10" t="str">
        <f t="array" ref="F205">IFERROR(INDEX(T1_ProductType!$D:$D,MATCH(INDEX(T2_GroupSKU!$C:$C,MATCH(B205,T2_GroupSKU!$A:$A,0)),T1_ProductType!$A:$A,0)),"")</f>
        <v>Plastic Barrels</v>
      </c>
      <c r="G205" s="10" t="str">
        <f t="array" ref="G205">IFERROR(IF(INDEX(T1_ProductType!$E:$E,MATCH(INDEX(T2_GroupSKU!$C:$C,MATCH(B205,T2_GroupSKU!$A:$A,0)),T1_ProductType!$A:$A,0))="","-",INDEX(T1_ProductType!$E:$E,MATCH(INDEX(T2_GroupSKU!$C:$C,MATCH(B205,T2_GroupSKU!$A:$A,0)),T1_ProductType!$A:$A,0))),"-")</f>
        <v>-</v>
      </c>
      <c r="H205" s="10">
        <f t="array" ref="H205">IFERROR(IF(INDEX(T2_GroupSKU!$D:$D,MATCH(B205,T2_GroupSKU!$A:$A,0))="","-",INDEX(T2_GroupSKU!$D:$D,MATCH(B205,T2_GroupSKU!$A:$A,0))),"-")</f>
        <v>14</v>
      </c>
      <c r="I205" s="10" t="str">
        <f t="array" ref="I205">IFERROR(IF(INDEX(T2_GroupSKU!$E:$E,MATCH(B205,T2_GroupSKU!$A:$A,0))="","-",INDEX(T2_GroupSKU!$E:$E,MATCH(B205,T2_GroupSKU!$A:$A,0))),"-")</f>
        <v>INCH</v>
      </c>
      <c r="J205" s="10" t="str">
        <f>T3_SKU!C205</f>
        <v>Gold</v>
      </c>
      <c r="K205" s="10" t="str">
        <f>T3_SKU!D205</f>
        <v>14" MS RING GOLD PLATING</v>
      </c>
      <c r="L205" s="10" t="str">
        <f>T3_SKU!E205</f>
        <v>NOS</v>
      </c>
      <c r="M205" s="10" t="str">
        <f>T3_SKU!F205</f>
        <v>73269099</v>
      </c>
    </row>
    <row r="206" ht="15.0" customHeight="1">
      <c r="A206" s="10" t="str">
        <f>T3_SKU!A206</f>
        <v>MSRING-14IN-WHT</v>
      </c>
      <c r="B206" s="10" t="str">
        <f>T3_SKU!B206</f>
        <v>MSRING-14IN</v>
      </c>
      <c r="C206" s="10" t="str">
        <f t="array" ref="C206">IFERROR(INDEX(T2_GroupSKU!$B:$B,MATCH(B206,T2_GroupSKU!$A:$A,0)),"")</f>
        <v>MS Ring - 14.0"</v>
      </c>
      <c r="D206" s="10" t="str">
        <f t="array" ref="D206">IFERROR(INDEX(T1_ProductType!$B:$B,MATCH(INDEX(T2_GroupSKU!$C:$C,MATCH(B206,T2_GroupSKU!$A:$A,0)),T1_ProductType!$A:$A,0)),"")</f>
        <v>MS Ring</v>
      </c>
      <c r="E206" s="10" t="str">
        <f t="array" ref="E206">IFERROR(INDEX(T1_ProductType!$C:$C,MATCH(INDEX(T2_GroupSKU!$C:$C,MATCH(B206,T2_GroupSKU!$A:$A,0)),T1_ProductType!$A:$A,0)),"")</f>
        <v>Accessory</v>
      </c>
      <c r="F206" s="10" t="str">
        <f t="array" ref="F206">IFERROR(INDEX(T1_ProductType!$D:$D,MATCH(INDEX(T2_GroupSKU!$C:$C,MATCH(B206,T2_GroupSKU!$A:$A,0)),T1_ProductType!$A:$A,0)),"")</f>
        <v>Plastic Barrels</v>
      </c>
      <c r="G206" s="10" t="str">
        <f t="array" ref="G206">IFERROR(IF(INDEX(T1_ProductType!$E:$E,MATCH(INDEX(T2_GroupSKU!$C:$C,MATCH(B206,T2_GroupSKU!$A:$A,0)),T1_ProductType!$A:$A,0))="","-",INDEX(T1_ProductType!$E:$E,MATCH(INDEX(T2_GroupSKU!$C:$C,MATCH(B206,T2_GroupSKU!$A:$A,0)),T1_ProductType!$A:$A,0))),"-")</f>
        <v>-</v>
      </c>
      <c r="H206" s="10">
        <f t="array" ref="H206">IFERROR(IF(INDEX(T2_GroupSKU!$D:$D,MATCH(B206,T2_GroupSKU!$A:$A,0))="","-",INDEX(T2_GroupSKU!$D:$D,MATCH(B206,T2_GroupSKU!$A:$A,0))),"-")</f>
        <v>14</v>
      </c>
      <c r="I206" s="10" t="str">
        <f t="array" ref="I206">IFERROR(IF(INDEX(T2_GroupSKU!$E:$E,MATCH(B206,T2_GroupSKU!$A:$A,0))="","-",INDEX(T2_GroupSKU!$E:$E,MATCH(B206,T2_GroupSKU!$A:$A,0))),"-")</f>
        <v>INCH</v>
      </c>
      <c r="J206" s="10" t="str">
        <f>T3_SKU!C206</f>
        <v>White</v>
      </c>
      <c r="K206" s="10" t="str">
        <f>T3_SKU!D206</f>
        <v>14'' MS RING WHITE POWDER COATING</v>
      </c>
      <c r="L206" s="10" t="str">
        <f>T3_SKU!E206</f>
        <v>NOS</v>
      </c>
      <c r="M206" s="10" t="str">
        <f>T3_SKU!F206</f>
        <v>               </v>
      </c>
    </row>
    <row r="207" ht="15.0" customHeight="1">
      <c r="A207" s="10" t="str">
        <f>T3_SKU!A207</f>
        <v>MSRING-19IN-BLK</v>
      </c>
      <c r="B207" s="10" t="str">
        <f>T3_SKU!B207</f>
        <v>MSRING-19IN</v>
      </c>
      <c r="C207" s="10" t="str">
        <f t="array" ref="C207">IFERROR(INDEX(T2_GroupSKU!$B:$B,MATCH(B207,T2_GroupSKU!$A:$A,0)),"")</f>
        <v>MS Ring - 19.0"</v>
      </c>
      <c r="D207" s="10" t="str">
        <f t="array" ref="D207">IFERROR(INDEX(T1_ProductType!$B:$B,MATCH(INDEX(T2_GroupSKU!$C:$C,MATCH(B207,T2_GroupSKU!$A:$A,0)),T1_ProductType!$A:$A,0)),"")</f>
        <v>MS Ring</v>
      </c>
      <c r="E207" s="10" t="str">
        <f t="array" ref="E207">IFERROR(INDEX(T1_ProductType!$C:$C,MATCH(INDEX(T2_GroupSKU!$C:$C,MATCH(B207,T2_GroupSKU!$A:$A,0)),T1_ProductType!$A:$A,0)),"")</f>
        <v>Accessory</v>
      </c>
      <c r="F207" s="10" t="str">
        <f t="array" ref="F207">IFERROR(INDEX(T1_ProductType!$D:$D,MATCH(INDEX(T2_GroupSKU!$C:$C,MATCH(B207,T2_GroupSKU!$A:$A,0)),T1_ProductType!$A:$A,0)),"")</f>
        <v>Plastic Barrels</v>
      </c>
      <c r="G207" s="10" t="str">
        <f t="array" ref="G207">IFERROR(IF(INDEX(T1_ProductType!$E:$E,MATCH(INDEX(T2_GroupSKU!$C:$C,MATCH(B207,T2_GroupSKU!$A:$A,0)),T1_ProductType!$A:$A,0))="","-",INDEX(T1_ProductType!$E:$E,MATCH(INDEX(T2_GroupSKU!$C:$C,MATCH(B207,T2_GroupSKU!$A:$A,0)),T1_ProductType!$A:$A,0))),"-")</f>
        <v>-</v>
      </c>
      <c r="H207" s="10">
        <f t="array" ref="H207">IFERROR(IF(INDEX(T2_GroupSKU!$D:$D,MATCH(B207,T2_GroupSKU!$A:$A,0))="","-",INDEX(T2_GroupSKU!$D:$D,MATCH(B207,T2_GroupSKU!$A:$A,0))),"-")</f>
        <v>19</v>
      </c>
      <c r="I207" s="10" t="str">
        <f t="array" ref="I207">IFERROR(IF(INDEX(T2_GroupSKU!$E:$E,MATCH(B207,T2_GroupSKU!$A:$A,0))="","-",INDEX(T2_GroupSKU!$E:$E,MATCH(B207,T2_GroupSKU!$A:$A,0))),"-")</f>
        <v>INCH</v>
      </c>
      <c r="J207" s="10" t="str">
        <f>T3_SKU!C207</f>
        <v>Black</v>
      </c>
      <c r="K207" s="10" t="str">
        <f>T3_SKU!D207</f>
        <v>19" MS RING BLACK POWDER COATING</v>
      </c>
      <c r="L207" s="10" t="str">
        <f>T3_SKU!E207</f>
        <v>NOS</v>
      </c>
      <c r="M207" s="10" t="str">
        <f>T3_SKU!F207</f>
        <v>73269099</v>
      </c>
    </row>
    <row r="208" ht="15.0" customHeight="1">
      <c r="A208" s="10" t="str">
        <f>T3_SKU!A208</f>
        <v>MSRING-19IN-V355</v>
      </c>
      <c r="B208" s="10" t="str">
        <f>T3_SKU!B208</f>
        <v>MSRING-19IN</v>
      </c>
      <c r="C208" s="10" t="str">
        <f t="array" ref="C208">IFERROR(INDEX(T2_GroupSKU!$B:$B,MATCH(B208,T2_GroupSKU!$A:$A,0)),"")</f>
        <v>MS Ring - 19.0"</v>
      </c>
      <c r="D208" s="10" t="str">
        <f t="array" ref="D208">IFERROR(INDEX(T1_ProductType!$B:$B,MATCH(INDEX(T2_GroupSKU!$C:$C,MATCH(B208,T2_GroupSKU!$A:$A,0)),T1_ProductType!$A:$A,0)),"")</f>
        <v>MS Ring</v>
      </c>
      <c r="E208" s="10" t="str">
        <f t="array" ref="E208">IFERROR(INDEX(T1_ProductType!$C:$C,MATCH(INDEX(T2_GroupSKU!$C:$C,MATCH(B208,T2_GroupSKU!$A:$A,0)),T1_ProductType!$A:$A,0)),"")</f>
        <v>Accessory</v>
      </c>
      <c r="F208" s="10" t="str">
        <f t="array" ref="F208">IFERROR(INDEX(T1_ProductType!$D:$D,MATCH(INDEX(T2_GroupSKU!$C:$C,MATCH(B208,T2_GroupSKU!$A:$A,0)),T1_ProductType!$A:$A,0)),"")</f>
        <v>Plastic Barrels</v>
      </c>
      <c r="G208" s="10" t="str">
        <f t="array" ref="G208">IFERROR(IF(INDEX(T1_ProductType!$E:$E,MATCH(INDEX(T2_GroupSKU!$C:$C,MATCH(B208,T2_GroupSKU!$A:$A,0)),T1_ProductType!$A:$A,0))="","-",INDEX(T1_ProductType!$E:$E,MATCH(INDEX(T2_GroupSKU!$C:$C,MATCH(B208,T2_GroupSKU!$A:$A,0)),T1_ProductType!$A:$A,0))),"-")</f>
        <v>-</v>
      </c>
      <c r="H208" s="10">
        <f t="array" ref="H208">IFERROR(IF(INDEX(T2_GroupSKU!$D:$D,MATCH(B208,T2_GroupSKU!$A:$A,0))="","-",INDEX(T2_GroupSKU!$D:$D,MATCH(B208,T2_GroupSKU!$A:$A,0))),"-")</f>
        <v>19</v>
      </c>
      <c r="I208" s="10" t="str">
        <f t="array" ref="I208">IFERROR(IF(INDEX(T2_GroupSKU!$E:$E,MATCH(B208,T2_GroupSKU!$A:$A,0))="","-",INDEX(T2_GroupSKU!$E:$E,MATCH(B208,T2_GroupSKU!$A:$A,0))),"-")</f>
        <v>INCH</v>
      </c>
      <c r="J208" s="10" t="str">
        <f>T3_SKU!C208</f>
        <v>19'' MS RING GOLDEN PLATING</v>
      </c>
      <c r="K208" s="10" t="str">
        <f>T3_SKU!D208</f>
        <v>19'' MS RING GOLDEN PLATING</v>
      </c>
      <c r="L208" s="10" t="str">
        <f>T3_SKU!E208</f>
        <v>NOS</v>
      </c>
      <c r="M208" s="10" t="str">
        <f>T3_SKU!F208</f>
        <v>73269099</v>
      </c>
    </row>
    <row r="209" ht="15.0" customHeight="1">
      <c r="A209" s="10" t="str">
        <f>T3_SKU!A209</f>
        <v>MZC-20-BLU-12KG</v>
      </c>
      <c r="B209" s="10" t="str">
        <f>T3_SKU!B209</f>
        <v>MZC-20</v>
      </c>
      <c r="C209" s="10" t="str">
        <f t="array" ref="C209">IFERROR(INDEX(T2_GroupSKU!$B:$B,MATCH(B209,T2_GroupSKU!$A:$A,0)),"")</f>
        <v>M/Z Can - 20.0 LTR</v>
      </c>
      <c r="D209" s="10" t="str">
        <f t="array" ref="D209">IFERROR(INDEX(T1_ProductType!$B:$B,MATCH(INDEX(T2_GroupSKU!$C:$C,MATCH(B209,T2_GroupSKU!$A:$A,0)),T1_ProductType!$A:$A,0)),"")</f>
        <v>M/Z Can</v>
      </c>
      <c r="E209" s="10" t="str">
        <f t="array" ref="E209">IFERROR(INDEX(T1_ProductType!$C:$C,MATCH(INDEX(T2_GroupSKU!$C:$C,MATCH(B209,T2_GroupSKU!$A:$A,0)),T1_ProductType!$A:$A,0)),"")</f>
        <v>Can</v>
      </c>
      <c r="F209" s="10" t="str">
        <f t="array" ref="F209">IFERROR(INDEX(T1_ProductType!$D:$D,MATCH(INDEX(T2_GroupSKU!$C:$C,MATCH(B209,T2_GroupSKU!$A:$A,0)),T1_ProductType!$A:$A,0)),"")</f>
        <v>Plastic Barrels</v>
      </c>
      <c r="G209" s="10" t="str">
        <f t="array" ref="G209">IFERROR(IF(INDEX(T1_ProductType!$E:$E,MATCH(INDEX(T2_GroupSKU!$C:$C,MATCH(B209,T2_GroupSKU!$A:$A,0)),T1_ProductType!$A:$A,0))="","-",INDEX(T1_ProductType!$E:$E,MATCH(INDEX(T2_GroupSKU!$C:$C,MATCH(B209,T2_GroupSKU!$A:$A,0)),T1_ProductType!$A:$A,0))),"-")</f>
        <v>Mouth-Zip Can</v>
      </c>
      <c r="H209" s="10">
        <f t="array" ref="H209">IFERROR(IF(INDEX(T2_GroupSKU!$D:$D,MATCH(B209,T2_GroupSKU!$A:$A,0))="","-",INDEX(T2_GroupSKU!$D:$D,MATCH(B209,T2_GroupSKU!$A:$A,0))),"-")</f>
        <v>20</v>
      </c>
      <c r="I209" s="10" t="str">
        <f t="array" ref="I209">IFERROR(IF(INDEX(T2_GroupSKU!$E:$E,MATCH(B209,T2_GroupSKU!$A:$A,0))="","-",INDEX(T2_GroupSKU!$E:$E,MATCH(B209,T2_GroupSKU!$A:$A,0))),"-")</f>
        <v>LTR</v>
      </c>
      <c r="J209" s="10" t="str">
        <f>T3_SKU!C209</f>
        <v>Blue / 1.2 KG</v>
      </c>
      <c r="K209" s="10" t="str">
        <f>T3_SKU!D209</f>
        <v>20 LTR BLUE M/Z 1.2 KG</v>
      </c>
      <c r="L209" s="10" t="str">
        <f>T3_SKU!E209</f>
        <v>NOS</v>
      </c>
      <c r="M209" s="10" t="str">
        <f>T3_SKU!F209</f>
        <v>39233090</v>
      </c>
    </row>
    <row r="210" ht="15.0" customHeight="1">
      <c r="A210" s="10" t="str">
        <f>T3_SKU!A210</f>
        <v>MZC-20-BLU-16KG</v>
      </c>
      <c r="B210" s="10" t="str">
        <f>T3_SKU!B210</f>
        <v>MZC-20</v>
      </c>
      <c r="C210" s="10" t="str">
        <f t="array" ref="C210">IFERROR(INDEX(T2_GroupSKU!$B:$B,MATCH(B210,T2_GroupSKU!$A:$A,0)),"")</f>
        <v>M/Z Can - 20.0 LTR</v>
      </c>
      <c r="D210" s="10" t="str">
        <f t="array" ref="D210">IFERROR(INDEX(T1_ProductType!$B:$B,MATCH(INDEX(T2_GroupSKU!$C:$C,MATCH(B210,T2_GroupSKU!$A:$A,0)),T1_ProductType!$A:$A,0)),"")</f>
        <v>M/Z Can</v>
      </c>
      <c r="E210" s="10" t="str">
        <f t="array" ref="E210">IFERROR(INDEX(T1_ProductType!$C:$C,MATCH(INDEX(T2_GroupSKU!$C:$C,MATCH(B210,T2_GroupSKU!$A:$A,0)),T1_ProductType!$A:$A,0)),"")</f>
        <v>Can</v>
      </c>
      <c r="F210" s="10" t="str">
        <f t="array" ref="F210">IFERROR(INDEX(T1_ProductType!$D:$D,MATCH(INDEX(T2_GroupSKU!$C:$C,MATCH(B210,T2_GroupSKU!$A:$A,0)),T1_ProductType!$A:$A,0)),"")</f>
        <v>Plastic Barrels</v>
      </c>
      <c r="G210" s="10" t="str">
        <f t="array" ref="G210">IFERROR(IF(INDEX(T1_ProductType!$E:$E,MATCH(INDEX(T2_GroupSKU!$C:$C,MATCH(B210,T2_GroupSKU!$A:$A,0)),T1_ProductType!$A:$A,0))="","-",INDEX(T1_ProductType!$E:$E,MATCH(INDEX(T2_GroupSKU!$C:$C,MATCH(B210,T2_GroupSKU!$A:$A,0)),T1_ProductType!$A:$A,0))),"-")</f>
        <v>Mouth-Zip Can</v>
      </c>
      <c r="H210" s="10">
        <f t="array" ref="H210">IFERROR(IF(INDEX(T2_GroupSKU!$D:$D,MATCH(B210,T2_GroupSKU!$A:$A,0))="","-",INDEX(T2_GroupSKU!$D:$D,MATCH(B210,T2_GroupSKU!$A:$A,0))),"-")</f>
        <v>20</v>
      </c>
      <c r="I210" s="10" t="str">
        <f t="array" ref="I210">IFERROR(IF(INDEX(T2_GroupSKU!$E:$E,MATCH(B210,T2_GroupSKU!$A:$A,0))="","-",INDEX(T2_GroupSKU!$E:$E,MATCH(B210,T2_GroupSKU!$A:$A,0))),"-")</f>
        <v>LTR</v>
      </c>
      <c r="J210" s="10" t="str">
        <f>T3_SKU!C210</f>
        <v>Blue / 1.6 KG</v>
      </c>
      <c r="K210" s="10" t="str">
        <f>T3_SKU!D210</f>
        <v>20 LTR BLUE M/Z 1.6 KG</v>
      </c>
      <c r="L210" s="10" t="str">
        <f>T3_SKU!E210</f>
        <v>NOS</v>
      </c>
      <c r="M210" s="10" t="str">
        <f>T3_SKU!F210</f>
        <v>39233090</v>
      </c>
    </row>
    <row r="211" ht="15.0" customHeight="1">
      <c r="A211" s="10" t="str">
        <f>T3_SKU!A211</f>
        <v>MZC-20-YEL-14KG</v>
      </c>
      <c r="B211" s="10" t="str">
        <f>T3_SKU!B211</f>
        <v>MZC-20</v>
      </c>
      <c r="C211" s="10" t="str">
        <f t="array" ref="C211">IFERROR(INDEX(T2_GroupSKU!$B:$B,MATCH(B211,T2_GroupSKU!$A:$A,0)),"")</f>
        <v>M/Z Can - 20.0 LTR</v>
      </c>
      <c r="D211" s="10" t="str">
        <f t="array" ref="D211">IFERROR(INDEX(T1_ProductType!$B:$B,MATCH(INDEX(T2_GroupSKU!$C:$C,MATCH(B211,T2_GroupSKU!$A:$A,0)),T1_ProductType!$A:$A,0)),"")</f>
        <v>M/Z Can</v>
      </c>
      <c r="E211" s="10" t="str">
        <f t="array" ref="E211">IFERROR(INDEX(T1_ProductType!$C:$C,MATCH(INDEX(T2_GroupSKU!$C:$C,MATCH(B211,T2_GroupSKU!$A:$A,0)),T1_ProductType!$A:$A,0)),"")</f>
        <v>Can</v>
      </c>
      <c r="F211" s="10" t="str">
        <f t="array" ref="F211">IFERROR(INDEX(T1_ProductType!$D:$D,MATCH(INDEX(T2_GroupSKU!$C:$C,MATCH(B211,T2_GroupSKU!$A:$A,0)),T1_ProductType!$A:$A,0)),"")</f>
        <v>Plastic Barrels</v>
      </c>
      <c r="G211" s="10" t="str">
        <f t="array" ref="G211">IFERROR(IF(INDEX(T1_ProductType!$E:$E,MATCH(INDEX(T2_GroupSKU!$C:$C,MATCH(B211,T2_GroupSKU!$A:$A,0)),T1_ProductType!$A:$A,0))="","-",INDEX(T1_ProductType!$E:$E,MATCH(INDEX(T2_GroupSKU!$C:$C,MATCH(B211,T2_GroupSKU!$A:$A,0)),T1_ProductType!$A:$A,0))),"-")</f>
        <v>Mouth-Zip Can</v>
      </c>
      <c r="H211" s="10">
        <f t="array" ref="H211">IFERROR(IF(INDEX(T2_GroupSKU!$D:$D,MATCH(B211,T2_GroupSKU!$A:$A,0))="","-",INDEX(T2_GroupSKU!$D:$D,MATCH(B211,T2_GroupSKU!$A:$A,0))),"-")</f>
        <v>20</v>
      </c>
      <c r="I211" s="10" t="str">
        <f t="array" ref="I211">IFERROR(IF(INDEX(T2_GroupSKU!$E:$E,MATCH(B211,T2_GroupSKU!$A:$A,0))="","-",INDEX(T2_GroupSKU!$E:$E,MATCH(B211,T2_GroupSKU!$A:$A,0))),"-")</f>
        <v>LTR</v>
      </c>
      <c r="J211" s="10" t="str">
        <f>T3_SKU!C211</f>
        <v>Yellow / 1.4 KG</v>
      </c>
      <c r="K211" s="10" t="str">
        <f>T3_SKU!D211</f>
        <v>20 LTR YELLOW M/Z 1.4 KG</v>
      </c>
      <c r="L211" s="10" t="str">
        <f>T3_SKU!E211</f>
        <v>NOS</v>
      </c>
      <c r="M211" s="10" t="str">
        <f>T3_SKU!F211</f>
        <v>39233090</v>
      </c>
    </row>
    <row r="212" ht="15.0" customHeight="1">
      <c r="A212" s="10" t="str">
        <f>T3_SKU!A212</f>
        <v>MZC-25-BLU-12KG</v>
      </c>
      <c r="B212" s="10" t="str">
        <f>T3_SKU!B212</f>
        <v>MZC-25</v>
      </c>
      <c r="C212" s="10" t="str">
        <f t="array" ref="C212">IFERROR(INDEX(T2_GroupSKU!$B:$B,MATCH(B212,T2_GroupSKU!$A:$A,0)),"")</f>
        <v>M/Z Can - 25.0 LTR</v>
      </c>
      <c r="D212" s="10" t="str">
        <f t="array" ref="D212">IFERROR(INDEX(T1_ProductType!$B:$B,MATCH(INDEX(T2_GroupSKU!$C:$C,MATCH(B212,T2_GroupSKU!$A:$A,0)),T1_ProductType!$A:$A,0)),"")</f>
        <v>M/Z Can</v>
      </c>
      <c r="E212" s="10" t="str">
        <f t="array" ref="E212">IFERROR(INDEX(T1_ProductType!$C:$C,MATCH(INDEX(T2_GroupSKU!$C:$C,MATCH(B212,T2_GroupSKU!$A:$A,0)),T1_ProductType!$A:$A,0)),"")</f>
        <v>Can</v>
      </c>
      <c r="F212" s="10" t="str">
        <f t="array" ref="F212">IFERROR(INDEX(T1_ProductType!$D:$D,MATCH(INDEX(T2_GroupSKU!$C:$C,MATCH(B212,T2_GroupSKU!$A:$A,0)),T1_ProductType!$A:$A,0)),"")</f>
        <v>Plastic Barrels</v>
      </c>
      <c r="G212" s="10" t="str">
        <f t="array" ref="G212">IFERROR(IF(INDEX(T1_ProductType!$E:$E,MATCH(INDEX(T2_GroupSKU!$C:$C,MATCH(B212,T2_GroupSKU!$A:$A,0)),T1_ProductType!$A:$A,0))="","-",INDEX(T1_ProductType!$E:$E,MATCH(INDEX(T2_GroupSKU!$C:$C,MATCH(B212,T2_GroupSKU!$A:$A,0)),T1_ProductType!$A:$A,0))),"-")</f>
        <v>Mouth-Zip Can</v>
      </c>
      <c r="H212" s="10">
        <f t="array" ref="H212">IFERROR(IF(INDEX(T2_GroupSKU!$D:$D,MATCH(B212,T2_GroupSKU!$A:$A,0))="","-",INDEX(T2_GroupSKU!$D:$D,MATCH(B212,T2_GroupSKU!$A:$A,0))),"-")</f>
        <v>25</v>
      </c>
      <c r="I212" s="10" t="str">
        <f t="array" ref="I212">IFERROR(IF(INDEX(T2_GroupSKU!$E:$E,MATCH(B212,T2_GroupSKU!$A:$A,0))="","-",INDEX(T2_GroupSKU!$E:$E,MATCH(B212,T2_GroupSKU!$A:$A,0))),"-")</f>
        <v>LTR</v>
      </c>
      <c r="J212" s="10" t="str">
        <f>T3_SKU!C212</f>
        <v>Blue / 1.2 KG</v>
      </c>
      <c r="K212" s="10" t="str">
        <f>T3_SKU!D212</f>
        <v>25 LTR BLUE M/Z 1.2 KG</v>
      </c>
      <c r="L212" s="10" t="str">
        <f>T3_SKU!E212</f>
        <v>NOS</v>
      </c>
      <c r="M212" s="10" t="str">
        <f>T3_SKU!F212</f>
        <v>39233090</v>
      </c>
    </row>
    <row r="213" ht="15.0" customHeight="1">
      <c r="A213" s="10" t="str">
        <f>T3_SKU!A213</f>
        <v>MZC-25-BLU-14KG</v>
      </c>
      <c r="B213" s="10" t="str">
        <f>T3_SKU!B213</f>
        <v>MZC-25</v>
      </c>
      <c r="C213" s="10" t="str">
        <f t="array" ref="C213">IFERROR(INDEX(T2_GroupSKU!$B:$B,MATCH(B213,T2_GroupSKU!$A:$A,0)),"")</f>
        <v>M/Z Can - 25.0 LTR</v>
      </c>
      <c r="D213" s="10" t="str">
        <f t="array" ref="D213">IFERROR(INDEX(T1_ProductType!$B:$B,MATCH(INDEX(T2_GroupSKU!$C:$C,MATCH(B213,T2_GroupSKU!$A:$A,0)),T1_ProductType!$A:$A,0)),"")</f>
        <v>M/Z Can</v>
      </c>
      <c r="E213" s="10" t="str">
        <f t="array" ref="E213">IFERROR(INDEX(T1_ProductType!$C:$C,MATCH(INDEX(T2_GroupSKU!$C:$C,MATCH(B213,T2_GroupSKU!$A:$A,0)),T1_ProductType!$A:$A,0)),"")</f>
        <v>Can</v>
      </c>
      <c r="F213" s="10" t="str">
        <f t="array" ref="F213">IFERROR(INDEX(T1_ProductType!$D:$D,MATCH(INDEX(T2_GroupSKU!$C:$C,MATCH(B213,T2_GroupSKU!$A:$A,0)),T1_ProductType!$A:$A,0)),"")</f>
        <v>Plastic Barrels</v>
      </c>
      <c r="G213" s="10" t="str">
        <f t="array" ref="G213">IFERROR(IF(INDEX(T1_ProductType!$E:$E,MATCH(INDEX(T2_GroupSKU!$C:$C,MATCH(B213,T2_GroupSKU!$A:$A,0)),T1_ProductType!$A:$A,0))="","-",INDEX(T1_ProductType!$E:$E,MATCH(INDEX(T2_GroupSKU!$C:$C,MATCH(B213,T2_GroupSKU!$A:$A,0)),T1_ProductType!$A:$A,0))),"-")</f>
        <v>Mouth-Zip Can</v>
      </c>
      <c r="H213" s="10">
        <f t="array" ref="H213">IFERROR(IF(INDEX(T2_GroupSKU!$D:$D,MATCH(B213,T2_GroupSKU!$A:$A,0))="","-",INDEX(T2_GroupSKU!$D:$D,MATCH(B213,T2_GroupSKU!$A:$A,0))),"-")</f>
        <v>25</v>
      </c>
      <c r="I213" s="10" t="str">
        <f t="array" ref="I213">IFERROR(IF(INDEX(T2_GroupSKU!$E:$E,MATCH(B213,T2_GroupSKU!$A:$A,0))="","-",INDEX(T2_GroupSKU!$E:$E,MATCH(B213,T2_GroupSKU!$A:$A,0))),"-")</f>
        <v>LTR</v>
      </c>
      <c r="J213" s="10" t="str">
        <f>T3_SKU!C213</f>
        <v>Blue / 1.4 KG</v>
      </c>
      <c r="K213" s="10" t="str">
        <f>T3_SKU!D213</f>
        <v>25 LTR BLUE M/Z 1.4 KG</v>
      </c>
      <c r="L213" s="10" t="str">
        <f>T3_SKU!E213</f>
        <v>NOS</v>
      </c>
      <c r="M213" s="10" t="str">
        <f>T3_SKU!F213</f>
        <v>39233090</v>
      </c>
    </row>
    <row r="214" ht="15.0" customHeight="1">
      <c r="A214" s="10" t="str">
        <f>T3_SKU!A214</f>
        <v>MZC-25-BLU-15KG</v>
      </c>
      <c r="B214" s="10" t="str">
        <f>T3_SKU!B214</f>
        <v>MZC-25</v>
      </c>
      <c r="C214" s="10" t="str">
        <f t="array" ref="C214">IFERROR(INDEX(T2_GroupSKU!$B:$B,MATCH(B214,T2_GroupSKU!$A:$A,0)),"")</f>
        <v>M/Z Can - 25.0 LTR</v>
      </c>
      <c r="D214" s="10" t="str">
        <f t="array" ref="D214">IFERROR(INDEX(T1_ProductType!$B:$B,MATCH(INDEX(T2_GroupSKU!$C:$C,MATCH(B214,T2_GroupSKU!$A:$A,0)),T1_ProductType!$A:$A,0)),"")</f>
        <v>M/Z Can</v>
      </c>
      <c r="E214" s="10" t="str">
        <f t="array" ref="E214">IFERROR(INDEX(T1_ProductType!$C:$C,MATCH(INDEX(T2_GroupSKU!$C:$C,MATCH(B214,T2_GroupSKU!$A:$A,0)),T1_ProductType!$A:$A,0)),"")</f>
        <v>Can</v>
      </c>
      <c r="F214" s="10" t="str">
        <f t="array" ref="F214">IFERROR(INDEX(T1_ProductType!$D:$D,MATCH(INDEX(T2_GroupSKU!$C:$C,MATCH(B214,T2_GroupSKU!$A:$A,0)),T1_ProductType!$A:$A,0)),"")</f>
        <v>Plastic Barrels</v>
      </c>
      <c r="G214" s="10" t="str">
        <f t="array" ref="G214">IFERROR(IF(INDEX(T1_ProductType!$E:$E,MATCH(INDEX(T2_GroupSKU!$C:$C,MATCH(B214,T2_GroupSKU!$A:$A,0)),T1_ProductType!$A:$A,0))="","-",INDEX(T1_ProductType!$E:$E,MATCH(INDEX(T2_GroupSKU!$C:$C,MATCH(B214,T2_GroupSKU!$A:$A,0)),T1_ProductType!$A:$A,0))),"-")</f>
        <v>Mouth-Zip Can</v>
      </c>
      <c r="H214" s="10">
        <f t="array" ref="H214">IFERROR(IF(INDEX(T2_GroupSKU!$D:$D,MATCH(B214,T2_GroupSKU!$A:$A,0))="","-",INDEX(T2_GroupSKU!$D:$D,MATCH(B214,T2_GroupSKU!$A:$A,0))),"-")</f>
        <v>25</v>
      </c>
      <c r="I214" s="10" t="str">
        <f t="array" ref="I214">IFERROR(IF(INDEX(T2_GroupSKU!$E:$E,MATCH(B214,T2_GroupSKU!$A:$A,0))="","-",INDEX(T2_GroupSKU!$E:$E,MATCH(B214,T2_GroupSKU!$A:$A,0))),"-")</f>
        <v>LTR</v>
      </c>
      <c r="J214" s="10" t="str">
        <f>T3_SKU!C214</f>
        <v>Blue / 1.5 KG</v>
      </c>
      <c r="K214" s="10" t="str">
        <f>T3_SKU!D214</f>
        <v>25 LTR BLUE M/Z 1.5 KG</v>
      </c>
      <c r="L214" s="10" t="str">
        <f>T3_SKU!E214</f>
        <v>NOS</v>
      </c>
      <c r="M214" s="10" t="str">
        <f>T3_SKU!F214</f>
        <v>39233090</v>
      </c>
    </row>
    <row r="215" ht="15.0" customHeight="1">
      <c r="A215" s="10" t="str">
        <f>T3_SKU!A215</f>
        <v>MZC-25-BLU-16KG</v>
      </c>
      <c r="B215" s="10" t="str">
        <f>T3_SKU!B215</f>
        <v>MZC-25</v>
      </c>
      <c r="C215" s="10" t="str">
        <f t="array" ref="C215">IFERROR(INDEX(T2_GroupSKU!$B:$B,MATCH(B215,T2_GroupSKU!$A:$A,0)),"")</f>
        <v>M/Z Can - 25.0 LTR</v>
      </c>
      <c r="D215" s="10" t="str">
        <f t="array" ref="D215">IFERROR(INDEX(T1_ProductType!$B:$B,MATCH(INDEX(T2_GroupSKU!$C:$C,MATCH(B215,T2_GroupSKU!$A:$A,0)),T1_ProductType!$A:$A,0)),"")</f>
        <v>M/Z Can</v>
      </c>
      <c r="E215" s="10" t="str">
        <f t="array" ref="E215">IFERROR(INDEX(T1_ProductType!$C:$C,MATCH(INDEX(T2_GroupSKU!$C:$C,MATCH(B215,T2_GroupSKU!$A:$A,0)),T1_ProductType!$A:$A,0)),"")</f>
        <v>Can</v>
      </c>
      <c r="F215" s="10" t="str">
        <f t="array" ref="F215">IFERROR(INDEX(T1_ProductType!$D:$D,MATCH(INDEX(T2_GroupSKU!$C:$C,MATCH(B215,T2_GroupSKU!$A:$A,0)),T1_ProductType!$A:$A,0)),"")</f>
        <v>Plastic Barrels</v>
      </c>
      <c r="G215" s="10" t="str">
        <f t="array" ref="G215">IFERROR(IF(INDEX(T1_ProductType!$E:$E,MATCH(INDEX(T2_GroupSKU!$C:$C,MATCH(B215,T2_GroupSKU!$A:$A,0)),T1_ProductType!$A:$A,0))="","-",INDEX(T1_ProductType!$E:$E,MATCH(INDEX(T2_GroupSKU!$C:$C,MATCH(B215,T2_GroupSKU!$A:$A,0)),T1_ProductType!$A:$A,0))),"-")</f>
        <v>Mouth-Zip Can</v>
      </c>
      <c r="H215" s="10">
        <f t="array" ref="H215">IFERROR(IF(INDEX(T2_GroupSKU!$D:$D,MATCH(B215,T2_GroupSKU!$A:$A,0))="","-",INDEX(T2_GroupSKU!$D:$D,MATCH(B215,T2_GroupSKU!$A:$A,0))),"-")</f>
        <v>25</v>
      </c>
      <c r="I215" s="10" t="str">
        <f t="array" ref="I215">IFERROR(IF(INDEX(T2_GroupSKU!$E:$E,MATCH(B215,T2_GroupSKU!$A:$A,0))="","-",INDEX(T2_GroupSKU!$E:$E,MATCH(B215,T2_GroupSKU!$A:$A,0))),"-")</f>
        <v>LTR</v>
      </c>
      <c r="J215" s="10" t="str">
        <f>T3_SKU!C215</f>
        <v>Blue / 1.6 KG</v>
      </c>
      <c r="K215" s="10" t="str">
        <f>T3_SKU!D215</f>
        <v>25 LTRS BLUE M/Z 1.6 KG</v>
      </c>
      <c r="L215" s="10" t="str">
        <f>T3_SKU!E215</f>
        <v>NOS</v>
      </c>
      <c r="M215" s="10" t="str">
        <f>T3_SKU!F215</f>
        <v>39233090</v>
      </c>
    </row>
    <row r="216" ht="15.0" customHeight="1">
      <c r="A216" s="10" t="str">
        <f>T3_SKU!A216</f>
        <v>MZC-25-BLU-17KG</v>
      </c>
      <c r="B216" s="10" t="str">
        <f>T3_SKU!B216</f>
        <v>MZC-25</v>
      </c>
      <c r="C216" s="10" t="str">
        <f t="array" ref="C216">IFERROR(INDEX(T2_GroupSKU!$B:$B,MATCH(B216,T2_GroupSKU!$A:$A,0)),"")</f>
        <v>M/Z Can - 25.0 LTR</v>
      </c>
      <c r="D216" s="10" t="str">
        <f t="array" ref="D216">IFERROR(INDEX(T1_ProductType!$B:$B,MATCH(INDEX(T2_GroupSKU!$C:$C,MATCH(B216,T2_GroupSKU!$A:$A,0)),T1_ProductType!$A:$A,0)),"")</f>
        <v>M/Z Can</v>
      </c>
      <c r="E216" s="10" t="str">
        <f t="array" ref="E216">IFERROR(INDEX(T1_ProductType!$C:$C,MATCH(INDEX(T2_GroupSKU!$C:$C,MATCH(B216,T2_GroupSKU!$A:$A,0)),T1_ProductType!$A:$A,0)),"")</f>
        <v>Can</v>
      </c>
      <c r="F216" s="10" t="str">
        <f t="array" ref="F216">IFERROR(INDEX(T1_ProductType!$D:$D,MATCH(INDEX(T2_GroupSKU!$C:$C,MATCH(B216,T2_GroupSKU!$A:$A,0)),T1_ProductType!$A:$A,0)),"")</f>
        <v>Plastic Barrels</v>
      </c>
      <c r="G216" s="10" t="str">
        <f t="array" ref="G216">IFERROR(IF(INDEX(T1_ProductType!$E:$E,MATCH(INDEX(T2_GroupSKU!$C:$C,MATCH(B216,T2_GroupSKU!$A:$A,0)),T1_ProductType!$A:$A,0))="","-",INDEX(T1_ProductType!$E:$E,MATCH(INDEX(T2_GroupSKU!$C:$C,MATCH(B216,T2_GroupSKU!$A:$A,0)),T1_ProductType!$A:$A,0))),"-")</f>
        <v>Mouth-Zip Can</v>
      </c>
      <c r="H216" s="10">
        <f t="array" ref="H216">IFERROR(IF(INDEX(T2_GroupSKU!$D:$D,MATCH(B216,T2_GroupSKU!$A:$A,0))="","-",INDEX(T2_GroupSKU!$D:$D,MATCH(B216,T2_GroupSKU!$A:$A,0))),"-")</f>
        <v>25</v>
      </c>
      <c r="I216" s="10" t="str">
        <f t="array" ref="I216">IFERROR(IF(INDEX(T2_GroupSKU!$E:$E,MATCH(B216,T2_GroupSKU!$A:$A,0))="","-",INDEX(T2_GroupSKU!$E:$E,MATCH(B216,T2_GroupSKU!$A:$A,0))),"-")</f>
        <v>LTR</v>
      </c>
      <c r="J216" s="10" t="str">
        <f>T3_SKU!C216</f>
        <v>Blue / 1.7 KG</v>
      </c>
      <c r="K216" s="10" t="str">
        <f>T3_SKU!D216</f>
        <v>25 LTR BLUE M/Z 1.7 KG</v>
      </c>
      <c r="L216" s="10" t="str">
        <f>T3_SKU!E216</f>
        <v>NOS</v>
      </c>
      <c r="M216" s="10" t="str">
        <f>T3_SKU!F216</f>
        <v>39233090</v>
      </c>
    </row>
    <row r="217" ht="15.0" customHeight="1">
      <c r="A217" s="10" t="str">
        <f>T3_SKU!A217</f>
        <v>MZC-25-BLU-20KG</v>
      </c>
      <c r="B217" s="10" t="str">
        <f>T3_SKU!B217</f>
        <v>MZC-25</v>
      </c>
      <c r="C217" s="10" t="str">
        <f t="array" ref="C217">IFERROR(INDEX(T2_GroupSKU!$B:$B,MATCH(B217,T2_GroupSKU!$A:$A,0)),"")</f>
        <v>M/Z Can - 25.0 LTR</v>
      </c>
      <c r="D217" s="10" t="str">
        <f t="array" ref="D217">IFERROR(INDEX(T1_ProductType!$B:$B,MATCH(INDEX(T2_GroupSKU!$C:$C,MATCH(B217,T2_GroupSKU!$A:$A,0)),T1_ProductType!$A:$A,0)),"")</f>
        <v>M/Z Can</v>
      </c>
      <c r="E217" s="10" t="str">
        <f t="array" ref="E217">IFERROR(INDEX(T1_ProductType!$C:$C,MATCH(INDEX(T2_GroupSKU!$C:$C,MATCH(B217,T2_GroupSKU!$A:$A,0)),T1_ProductType!$A:$A,0)),"")</f>
        <v>Can</v>
      </c>
      <c r="F217" s="10" t="str">
        <f t="array" ref="F217">IFERROR(INDEX(T1_ProductType!$D:$D,MATCH(INDEX(T2_GroupSKU!$C:$C,MATCH(B217,T2_GroupSKU!$A:$A,0)),T1_ProductType!$A:$A,0)),"")</f>
        <v>Plastic Barrels</v>
      </c>
      <c r="G217" s="10" t="str">
        <f t="array" ref="G217">IFERROR(IF(INDEX(T1_ProductType!$E:$E,MATCH(INDEX(T2_GroupSKU!$C:$C,MATCH(B217,T2_GroupSKU!$A:$A,0)),T1_ProductType!$A:$A,0))="","-",INDEX(T1_ProductType!$E:$E,MATCH(INDEX(T2_GroupSKU!$C:$C,MATCH(B217,T2_GroupSKU!$A:$A,0)),T1_ProductType!$A:$A,0))),"-")</f>
        <v>Mouth-Zip Can</v>
      </c>
      <c r="H217" s="10">
        <f t="array" ref="H217">IFERROR(IF(INDEX(T2_GroupSKU!$D:$D,MATCH(B217,T2_GroupSKU!$A:$A,0))="","-",INDEX(T2_GroupSKU!$D:$D,MATCH(B217,T2_GroupSKU!$A:$A,0))),"-")</f>
        <v>25</v>
      </c>
      <c r="I217" s="10" t="str">
        <f t="array" ref="I217">IFERROR(IF(INDEX(T2_GroupSKU!$E:$E,MATCH(B217,T2_GroupSKU!$A:$A,0))="","-",INDEX(T2_GroupSKU!$E:$E,MATCH(B217,T2_GroupSKU!$A:$A,0))),"-")</f>
        <v>LTR</v>
      </c>
      <c r="J217" s="10" t="str">
        <f>T3_SKU!C217</f>
        <v>Blue / 2.0 KG</v>
      </c>
      <c r="K217" s="10" t="str">
        <f>T3_SKU!D217</f>
        <v>25 LTR BLUE M/Z 2.0 KG</v>
      </c>
      <c r="L217" s="10" t="str">
        <f>T3_SKU!E217</f>
        <v>NOS</v>
      </c>
      <c r="M217" s="10" t="str">
        <f>T3_SKU!F217</f>
        <v>39233090</v>
      </c>
    </row>
    <row r="218" ht="15.0" customHeight="1">
      <c r="A218" s="10" t="str">
        <f>T3_SKU!A218</f>
        <v>MZC-30-BLU-16KG</v>
      </c>
      <c r="B218" s="10" t="str">
        <f>T3_SKU!B218</f>
        <v>MZC-30</v>
      </c>
      <c r="C218" s="10" t="str">
        <f t="array" ref="C218">IFERROR(INDEX(T2_GroupSKU!$B:$B,MATCH(B218,T2_GroupSKU!$A:$A,0)),"")</f>
        <v>M/Z Can - 30.0 LTR</v>
      </c>
      <c r="D218" s="10" t="str">
        <f t="array" ref="D218">IFERROR(INDEX(T1_ProductType!$B:$B,MATCH(INDEX(T2_GroupSKU!$C:$C,MATCH(B218,T2_GroupSKU!$A:$A,0)),T1_ProductType!$A:$A,0)),"")</f>
        <v>M/Z Can</v>
      </c>
      <c r="E218" s="10" t="str">
        <f t="array" ref="E218">IFERROR(INDEX(T1_ProductType!$C:$C,MATCH(INDEX(T2_GroupSKU!$C:$C,MATCH(B218,T2_GroupSKU!$A:$A,0)),T1_ProductType!$A:$A,0)),"")</f>
        <v>Can</v>
      </c>
      <c r="F218" s="10" t="str">
        <f t="array" ref="F218">IFERROR(INDEX(T1_ProductType!$D:$D,MATCH(INDEX(T2_GroupSKU!$C:$C,MATCH(B218,T2_GroupSKU!$A:$A,0)),T1_ProductType!$A:$A,0)),"")</f>
        <v>Plastic Barrels</v>
      </c>
      <c r="G218" s="10" t="str">
        <f t="array" ref="G218">IFERROR(IF(INDEX(T1_ProductType!$E:$E,MATCH(INDEX(T2_GroupSKU!$C:$C,MATCH(B218,T2_GroupSKU!$A:$A,0)),T1_ProductType!$A:$A,0))="","-",INDEX(T1_ProductType!$E:$E,MATCH(INDEX(T2_GroupSKU!$C:$C,MATCH(B218,T2_GroupSKU!$A:$A,0)),T1_ProductType!$A:$A,0))),"-")</f>
        <v>Mouth-Zip Can</v>
      </c>
      <c r="H218" s="10">
        <f t="array" ref="H218">IFERROR(IF(INDEX(T2_GroupSKU!$D:$D,MATCH(B218,T2_GroupSKU!$A:$A,0))="","-",INDEX(T2_GroupSKU!$D:$D,MATCH(B218,T2_GroupSKU!$A:$A,0))),"-")</f>
        <v>30</v>
      </c>
      <c r="I218" s="10" t="str">
        <f t="array" ref="I218">IFERROR(IF(INDEX(T2_GroupSKU!$E:$E,MATCH(B218,T2_GroupSKU!$A:$A,0))="","-",INDEX(T2_GroupSKU!$E:$E,MATCH(B218,T2_GroupSKU!$A:$A,0))),"-")</f>
        <v>LTR</v>
      </c>
      <c r="J218" s="10" t="str">
        <f>T3_SKU!C218</f>
        <v>Blue / 1.6 KG</v>
      </c>
      <c r="K218" s="10" t="str">
        <f>T3_SKU!D218</f>
        <v>30 LTR BLUE M/Z 1.6 KG</v>
      </c>
      <c r="L218" s="10" t="str">
        <f>T3_SKU!E218</f>
        <v>NOS</v>
      </c>
      <c r="M218" s="10" t="str">
        <f>T3_SKU!F218</f>
        <v>39233090</v>
      </c>
    </row>
    <row r="219" ht="15.0" customHeight="1">
      <c r="A219" s="10" t="str">
        <f>T3_SKU!A219</f>
        <v>MZC-30-BLU-17KG</v>
      </c>
      <c r="B219" s="10" t="str">
        <f>T3_SKU!B219</f>
        <v>MZC-30</v>
      </c>
      <c r="C219" s="10" t="str">
        <f t="array" ref="C219">IFERROR(INDEX(T2_GroupSKU!$B:$B,MATCH(B219,T2_GroupSKU!$A:$A,0)),"")</f>
        <v>M/Z Can - 30.0 LTR</v>
      </c>
      <c r="D219" s="10" t="str">
        <f t="array" ref="D219">IFERROR(INDEX(T1_ProductType!$B:$B,MATCH(INDEX(T2_GroupSKU!$C:$C,MATCH(B219,T2_GroupSKU!$A:$A,0)),T1_ProductType!$A:$A,0)),"")</f>
        <v>M/Z Can</v>
      </c>
      <c r="E219" s="10" t="str">
        <f t="array" ref="E219">IFERROR(INDEX(T1_ProductType!$C:$C,MATCH(INDEX(T2_GroupSKU!$C:$C,MATCH(B219,T2_GroupSKU!$A:$A,0)),T1_ProductType!$A:$A,0)),"")</f>
        <v>Can</v>
      </c>
      <c r="F219" s="10" t="str">
        <f t="array" ref="F219">IFERROR(INDEX(T1_ProductType!$D:$D,MATCH(INDEX(T2_GroupSKU!$C:$C,MATCH(B219,T2_GroupSKU!$A:$A,0)),T1_ProductType!$A:$A,0)),"")</f>
        <v>Plastic Barrels</v>
      </c>
      <c r="G219" s="10" t="str">
        <f t="array" ref="G219">IFERROR(IF(INDEX(T1_ProductType!$E:$E,MATCH(INDEX(T2_GroupSKU!$C:$C,MATCH(B219,T2_GroupSKU!$A:$A,0)),T1_ProductType!$A:$A,0))="","-",INDEX(T1_ProductType!$E:$E,MATCH(INDEX(T2_GroupSKU!$C:$C,MATCH(B219,T2_GroupSKU!$A:$A,0)),T1_ProductType!$A:$A,0))),"-")</f>
        <v>Mouth-Zip Can</v>
      </c>
      <c r="H219" s="10">
        <f t="array" ref="H219">IFERROR(IF(INDEX(T2_GroupSKU!$D:$D,MATCH(B219,T2_GroupSKU!$A:$A,0))="","-",INDEX(T2_GroupSKU!$D:$D,MATCH(B219,T2_GroupSKU!$A:$A,0))),"-")</f>
        <v>30</v>
      </c>
      <c r="I219" s="10" t="str">
        <f t="array" ref="I219">IFERROR(IF(INDEX(T2_GroupSKU!$E:$E,MATCH(B219,T2_GroupSKU!$A:$A,0))="","-",INDEX(T2_GroupSKU!$E:$E,MATCH(B219,T2_GroupSKU!$A:$A,0))),"-")</f>
        <v>LTR</v>
      </c>
      <c r="J219" s="10" t="str">
        <f>T3_SKU!C219</f>
        <v>Blue / 1.7 KG</v>
      </c>
      <c r="K219" s="10" t="str">
        <f>T3_SKU!D219</f>
        <v>30 LTR BLUE M/Z 1.7 KG</v>
      </c>
      <c r="L219" s="10" t="str">
        <f>T3_SKU!E219</f>
        <v>NOS</v>
      </c>
      <c r="M219" s="10" t="str">
        <f>T3_SKU!F219</f>
        <v>39233090</v>
      </c>
    </row>
    <row r="220" ht="15.0" customHeight="1">
      <c r="A220" s="10" t="str">
        <f>T3_SKU!A220</f>
        <v>MZC-30-BLU-18KG</v>
      </c>
      <c r="B220" s="10" t="str">
        <f>T3_SKU!B220</f>
        <v>MZC-30</v>
      </c>
      <c r="C220" s="10" t="str">
        <f t="array" ref="C220">IFERROR(INDEX(T2_GroupSKU!$B:$B,MATCH(B220,T2_GroupSKU!$A:$A,0)),"")</f>
        <v>M/Z Can - 30.0 LTR</v>
      </c>
      <c r="D220" s="10" t="str">
        <f t="array" ref="D220">IFERROR(INDEX(T1_ProductType!$B:$B,MATCH(INDEX(T2_GroupSKU!$C:$C,MATCH(B220,T2_GroupSKU!$A:$A,0)),T1_ProductType!$A:$A,0)),"")</f>
        <v>M/Z Can</v>
      </c>
      <c r="E220" s="10" t="str">
        <f t="array" ref="E220">IFERROR(INDEX(T1_ProductType!$C:$C,MATCH(INDEX(T2_GroupSKU!$C:$C,MATCH(B220,T2_GroupSKU!$A:$A,0)),T1_ProductType!$A:$A,0)),"")</f>
        <v>Can</v>
      </c>
      <c r="F220" s="10" t="str">
        <f t="array" ref="F220">IFERROR(INDEX(T1_ProductType!$D:$D,MATCH(INDEX(T2_GroupSKU!$C:$C,MATCH(B220,T2_GroupSKU!$A:$A,0)),T1_ProductType!$A:$A,0)),"")</f>
        <v>Plastic Barrels</v>
      </c>
      <c r="G220" s="10" t="str">
        <f t="array" ref="G220">IFERROR(IF(INDEX(T1_ProductType!$E:$E,MATCH(INDEX(T2_GroupSKU!$C:$C,MATCH(B220,T2_GroupSKU!$A:$A,0)),T1_ProductType!$A:$A,0))="","-",INDEX(T1_ProductType!$E:$E,MATCH(INDEX(T2_GroupSKU!$C:$C,MATCH(B220,T2_GroupSKU!$A:$A,0)),T1_ProductType!$A:$A,0))),"-")</f>
        <v>Mouth-Zip Can</v>
      </c>
      <c r="H220" s="10">
        <f t="array" ref="H220">IFERROR(IF(INDEX(T2_GroupSKU!$D:$D,MATCH(B220,T2_GroupSKU!$A:$A,0))="","-",INDEX(T2_GroupSKU!$D:$D,MATCH(B220,T2_GroupSKU!$A:$A,0))),"-")</f>
        <v>30</v>
      </c>
      <c r="I220" s="10" t="str">
        <f t="array" ref="I220">IFERROR(IF(INDEX(T2_GroupSKU!$E:$E,MATCH(B220,T2_GroupSKU!$A:$A,0))="","-",INDEX(T2_GroupSKU!$E:$E,MATCH(B220,T2_GroupSKU!$A:$A,0))),"-")</f>
        <v>LTR</v>
      </c>
      <c r="J220" s="10" t="str">
        <f>T3_SKU!C220</f>
        <v>Blue / 1.8 KG</v>
      </c>
      <c r="K220" s="10" t="str">
        <f>T3_SKU!D220</f>
        <v>30 LTR BLUE M/Z 1.8 KG</v>
      </c>
      <c r="L220" s="10" t="str">
        <f>T3_SKU!E220</f>
        <v>NOS</v>
      </c>
      <c r="M220" s="10" t="str">
        <f>T3_SKU!F220</f>
        <v>39233090</v>
      </c>
    </row>
    <row r="221" ht="15.0" customHeight="1">
      <c r="A221" s="10" t="str">
        <f>T3_SKU!A221</f>
        <v>MZC-30-BLU-19KG</v>
      </c>
      <c r="B221" s="10" t="str">
        <f>T3_SKU!B221</f>
        <v>MZC-30</v>
      </c>
      <c r="C221" s="10" t="str">
        <f t="array" ref="C221">IFERROR(INDEX(T2_GroupSKU!$B:$B,MATCH(B221,T2_GroupSKU!$A:$A,0)),"")</f>
        <v>M/Z Can - 30.0 LTR</v>
      </c>
      <c r="D221" s="10" t="str">
        <f t="array" ref="D221">IFERROR(INDEX(T1_ProductType!$B:$B,MATCH(INDEX(T2_GroupSKU!$C:$C,MATCH(B221,T2_GroupSKU!$A:$A,0)),T1_ProductType!$A:$A,0)),"")</f>
        <v>M/Z Can</v>
      </c>
      <c r="E221" s="10" t="str">
        <f t="array" ref="E221">IFERROR(INDEX(T1_ProductType!$C:$C,MATCH(INDEX(T2_GroupSKU!$C:$C,MATCH(B221,T2_GroupSKU!$A:$A,0)),T1_ProductType!$A:$A,0)),"")</f>
        <v>Can</v>
      </c>
      <c r="F221" s="10" t="str">
        <f t="array" ref="F221">IFERROR(INDEX(T1_ProductType!$D:$D,MATCH(INDEX(T2_GroupSKU!$C:$C,MATCH(B221,T2_GroupSKU!$A:$A,0)),T1_ProductType!$A:$A,0)),"")</f>
        <v>Plastic Barrels</v>
      </c>
      <c r="G221" s="10" t="str">
        <f t="array" ref="G221">IFERROR(IF(INDEX(T1_ProductType!$E:$E,MATCH(INDEX(T2_GroupSKU!$C:$C,MATCH(B221,T2_GroupSKU!$A:$A,0)),T1_ProductType!$A:$A,0))="","-",INDEX(T1_ProductType!$E:$E,MATCH(INDEX(T2_GroupSKU!$C:$C,MATCH(B221,T2_GroupSKU!$A:$A,0)),T1_ProductType!$A:$A,0))),"-")</f>
        <v>Mouth-Zip Can</v>
      </c>
      <c r="H221" s="10">
        <f t="array" ref="H221">IFERROR(IF(INDEX(T2_GroupSKU!$D:$D,MATCH(B221,T2_GroupSKU!$A:$A,0))="","-",INDEX(T2_GroupSKU!$D:$D,MATCH(B221,T2_GroupSKU!$A:$A,0))),"-")</f>
        <v>30</v>
      </c>
      <c r="I221" s="10" t="str">
        <f t="array" ref="I221">IFERROR(IF(INDEX(T2_GroupSKU!$E:$E,MATCH(B221,T2_GroupSKU!$A:$A,0))="","-",INDEX(T2_GroupSKU!$E:$E,MATCH(B221,T2_GroupSKU!$A:$A,0))),"-")</f>
        <v>LTR</v>
      </c>
      <c r="J221" s="10" t="str">
        <f>T3_SKU!C221</f>
        <v>Blue / 1.9 KG</v>
      </c>
      <c r="K221" s="10" t="str">
        <f>T3_SKU!D221</f>
        <v>30 LTR BLUE M/Z 1.9 KG</v>
      </c>
      <c r="L221" s="10" t="str">
        <f>T3_SKU!E221</f>
        <v>NOS</v>
      </c>
      <c r="M221" s="10" t="str">
        <f>T3_SKU!F221</f>
        <v>39233090</v>
      </c>
    </row>
    <row r="222" ht="15.0" customHeight="1">
      <c r="A222" s="10" t="str">
        <f>T3_SKU!A222</f>
        <v>MZC-30-BLU-20KG</v>
      </c>
      <c r="B222" s="10" t="str">
        <f>T3_SKU!B222</f>
        <v>MZC-30</v>
      </c>
      <c r="C222" s="10" t="str">
        <f t="array" ref="C222">IFERROR(INDEX(T2_GroupSKU!$B:$B,MATCH(B222,T2_GroupSKU!$A:$A,0)),"")</f>
        <v>M/Z Can - 30.0 LTR</v>
      </c>
      <c r="D222" s="10" t="str">
        <f t="array" ref="D222">IFERROR(INDEX(T1_ProductType!$B:$B,MATCH(INDEX(T2_GroupSKU!$C:$C,MATCH(B222,T2_GroupSKU!$A:$A,0)),T1_ProductType!$A:$A,0)),"")</f>
        <v>M/Z Can</v>
      </c>
      <c r="E222" s="10" t="str">
        <f t="array" ref="E222">IFERROR(INDEX(T1_ProductType!$C:$C,MATCH(INDEX(T2_GroupSKU!$C:$C,MATCH(B222,T2_GroupSKU!$A:$A,0)),T1_ProductType!$A:$A,0)),"")</f>
        <v>Can</v>
      </c>
      <c r="F222" s="10" t="str">
        <f t="array" ref="F222">IFERROR(INDEX(T1_ProductType!$D:$D,MATCH(INDEX(T2_GroupSKU!$C:$C,MATCH(B222,T2_GroupSKU!$A:$A,0)),T1_ProductType!$A:$A,0)),"")</f>
        <v>Plastic Barrels</v>
      </c>
      <c r="G222" s="10" t="str">
        <f t="array" ref="G222">IFERROR(IF(INDEX(T1_ProductType!$E:$E,MATCH(INDEX(T2_GroupSKU!$C:$C,MATCH(B222,T2_GroupSKU!$A:$A,0)),T1_ProductType!$A:$A,0))="","-",INDEX(T1_ProductType!$E:$E,MATCH(INDEX(T2_GroupSKU!$C:$C,MATCH(B222,T2_GroupSKU!$A:$A,0)),T1_ProductType!$A:$A,0))),"-")</f>
        <v>Mouth-Zip Can</v>
      </c>
      <c r="H222" s="10">
        <f t="array" ref="H222">IFERROR(IF(INDEX(T2_GroupSKU!$D:$D,MATCH(B222,T2_GroupSKU!$A:$A,0))="","-",INDEX(T2_GroupSKU!$D:$D,MATCH(B222,T2_GroupSKU!$A:$A,0))),"-")</f>
        <v>30</v>
      </c>
      <c r="I222" s="10" t="str">
        <f t="array" ref="I222">IFERROR(IF(INDEX(T2_GroupSKU!$E:$E,MATCH(B222,T2_GroupSKU!$A:$A,0))="","-",INDEX(T2_GroupSKU!$E:$E,MATCH(B222,T2_GroupSKU!$A:$A,0))),"-")</f>
        <v>LTR</v>
      </c>
      <c r="J222" s="10" t="str">
        <f>T3_SKU!C222</f>
        <v>Blue / 2.0 KG</v>
      </c>
      <c r="K222" s="10" t="str">
        <f>T3_SKU!D222</f>
        <v>30 LTR BLUE M/Z 2.0 KG</v>
      </c>
      <c r="L222" s="10" t="str">
        <f>T3_SKU!E222</f>
        <v>NOS</v>
      </c>
      <c r="M222" s="10" t="str">
        <f>T3_SKU!F222</f>
        <v>39233090</v>
      </c>
    </row>
    <row r="223" ht="15.0" customHeight="1">
      <c r="A223" s="10" t="str">
        <f>T3_SKU!A223</f>
        <v>MZC-30-BLU-22KG</v>
      </c>
      <c r="B223" s="10" t="str">
        <f>T3_SKU!B223</f>
        <v>MZC-30</v>
      </c>
      <c r="C223" s="10" t="str">
        <f t="array" ref="C223">IFERROR(INDEX(T2_GroupSKU!$B:$B,MATCH(B223,T2_GroupSKU!$A:$A,0)),"")</f>
        <v>M/Z Can - 30.0 LTR</v>
      </c>
      <c r="D223" s="10" t="str">
        <f t="array" ref="D223">IFERROR(INDEX(T1_ProductType!$B:$B,MATCH(INDEX(T2_GroupSKU!$C:$C,MATCH(B223,T2_GroupSKU!$A:$A,0)),T1_ProductType!$A:$A,0)),"")</f>
        <v>M/Z Can</v>
      </c>
      <c r="E223" s="10" t="str">
        <f t="array" ref="E223">IFERROR(INDEX(T1_ProductType!$C:$C,MATCH(INDEX(T2_GroupSKU!$C:$C,MATCH(B223,T2_GroupSKU!$A:$A,0)),T1_ProductType!$A:$A,0)),"")</f>
        <v>Can</v>
      </c>
      <c r="F223" s="10" t="str">
        <f t="array" ref="F223">IFERROR(INDEX(T1_ProductType!$D:$D,MATCH(INDEX(T2_GroupSKU!$C:$C,MATCH(B223,T2_GroupSKU!$A:$A,0)),T1_ProductType!$A:$A,0)),"")</f>
        <v>Plastic Barrels</v>
      </c>
      <c r="G223" s="10" t="str">
        <f t="array" ref="G223">IFERROR(IF(INDEX(T1_ProductType!$E:$E,MATCH(INDEX(T2_GroupSKU!$C:$C,MATCH(B223,T2_GroupSKU!$A:$A,0)),T1_ProductType!$A:$A,0))="","-",INDEX(T1_ProductType!$E:$E,MATCH(INDEX(T2_GroupSKU!$C:$C,MATCH(B223,T2_GroupSKU!$A:$A,0)),T1_ProductType!$A:$A,0))),"-")</f>
        <v>Mouth-Zip Can</v>
      </c>
      <c r="H223" s="10">
        <f t="array" ref="H223">IFERROR(IF(INDEX(T2_GroupSKU!$D:$D,MATCH(B223,T2_GroupSKU!$A:$A,0))="","-",INDEX(T2_GroupSKU!$D:$D,MATCH(B223,T2_GroupSKU!$A:$A,0))),"-")</f>
        <v>30</v>
      </c>
      <c r="I223" s="10" t="str">
        <f t="array" ref="I223">IFERROR(IF(INDEX(T2_GroupSKU!$E:$E,MATCH(B223,T2_GroupSKU!$A:$A,0))="","-",INDEX(T2_GroupSKU!$E:$E,MATCH(B223,T2_GroupSKU!$A:$A,0))),"-")</f>
        <v>LTR</v>
      </c>
      <c r="J223" s="10" t="str">
        <f>T3_SKU!C223</f>
        <v>Blue / 2.2 KG</v>
      </c>
      <c r="K223" s="10" t="str">
        <f>T3_SKU!D223</f>
        <v>30 LTR BLUE M/Z 2.2 KG</v>
      </c>
      <c r="L223" s="10" t="str">
        <f>T3_SKU!E223</f>
        <v>NOS</v>
      </c>
      <c r="M223" s="10" t="str">
        <f>T3_SKU!F223</f>
        <v>39233090</v>
      </c>
    </row>
    <row r="224" ht="15.0" customHeight="1">
      <c r="A224" s="10" t="str">
        <f>T3_SKU!A224</f>
        <v>MZC-30-BLU-25KG</v>
      </c>
      <c r="B224" s="10" t="str">
        <f>T3_SKU!B224</f>
        <v>MZC-30</v>
      </c>
      <c r="C224" s="10" t="str">
        <f t="array" ref="C224">IFERROR(INDEX(T2_GroupSKU!$B:$B,MATCH(B224,T2_GroupSKU!$A:$A,0)),"")</f>
        <v>M/Z Can - 30.0 LTR</v>
      </c>
      <c r="D224" s="10" t="str">
        <f t="array" ref="D224">IFERROR(INDEX(T1_ProductType!$B:$B,MATCH(INDEX(T2_GroupSKU!$C:$C,MATCH(B224,T2_GroupSKU!$A:$A,0)),T1_ProductType!$A:$A,0)),"")</f>
        <v>M/Z Can</v>
      </c>
      <c r="E224" s="10" t="str">
        <f t="array" ref="E224">IFERROR(INDEX(T1_ProductType!$C:$C,MATCH(INDEX(T2_GroupSKU!$C:$C,MATCH(B224,T2_GroupSKU!$A:$A,0)),T1_ProductType!$A:$A,0)),"")</f>
        <v>Can</v>
      </c>
      <c r="F224" s="10" t="str">
        <f t="array" ref="F224">IFERROR(INDEX(T1_ProductType!$D:$D,MATCH(INDEX(T2_GroupSKU!$C:$C,MATCH(B224,T2_GroupSKU!$A:$A,0)),T1_ProductType!$A:$A,0)),"")</f>
        <v>Plastic Barrels</v>
      </c>
      <c r="G224" s="10" t="str">
        <f t="array" ref="G224">IFERROR(IF(INDEX(T1_ProductType!$E:$E,MATCH(INDEX(T2_GroupSKU!$C:$C,MATCH(B224,T2_GroupSKU!$A:$A,0)),T1_ProductType!$A:$A,0))="","-",INDEX(T1_ProductType!$E:$E,MATCH(INDEX(T2_GroupSKU!$C:$C,MATCH(B224,T2_GroupSKU!$A:$A,0)),T1_ProductType!$A:$A,0))),"-")</f>
        <v>Mouth-Zip Can</v>
      </c>
      <c r="H224" s="10">
        <f t="array" ref="H224">IFERROR(IF(INDEX(T2_GroupSKU!$D:$D,MATCH(B224,T2_GroupSKU!$A:$A,0))="","-",INDEX(T2_GroupSKU!$D:$D,MATCH(B224,T2_GroupSKU!$A:$A,0))),"-")</f>
        <v>30</v>
      </c>
      <c r="I224" s="10" t="str">
        <f t="array" ref="I224">IFERROR(IF(INDEX(T2_GroupSKU!$E:$E,MATCH(B224,T2_GroupSKU!$A:$A,0))="","-",INDEX(T2_GroupSKU!$E:$E,MATCH(B224,T2_GroupSKU!$A:$A,0))),"-")</f>
        <v>LTR</v>
      </c>
      <c r="J224" s="10" t="str">
        <f>T3_SKU!C224</f>
        <v>Blue / 2.5 KG</v>
      </c>
      <c r="K224" s="10" t="str">
        <f>T3_SKU!D224</f>
        <v>30 LTR BLUE M/Z 2.5 KG</v>
      </c>
      <c r="L224" s="10" t="str">
        <f>T3_SKU!E224</f>
        <v>nos</v>
      </c>
      <c r="M224" s="10" t="str">
        <f>T3_SKU!F224</f>
        <v>39233090</v>
      </c>
    </row>
    <row r="225" ht="15.0" customHeight="1">
      <c r="A225" s="10" t="str">
        <f>T3_SKU!A225</f>
        <v>MZC-30-WHT-18KG</v>
      </c>
      <c r="B225" s="10" t="str">
        <f>T3_SKU!B225</f>
        <v>MZC-30</v>
      </c>
      <c r="C225" s="10" t="str">
        <f t="array" ref="C225">IFERROR(INDEX(T2_GroupSKU!$B:$B,MATCH(B225,T2_GroupSKU!$A:$A,0)),"")</f>
        <v>M/Z Can - 30.0 LTR</v>
      </c>
      <c r="D225" s="10" t="str">
        <f t="array" ref="D225">IFERROR(INDEX(T1_ProductType!$B:$B,MATCH(INDEX(T2_GroupSKU!$C:$C,MATCH(B225,T2_GroupSKU!$A:$A,0)),T1_ProductType!$A:$A,0)),"")</f>
        <v>M/Z Can</v>
      </c>
      <c r="E225" s="10" t="str">
        <f t="array" ref="E225">IFERROR(INDEX(T1_ProductType!$C:$C,MATCH(INDEX(T2_GroupSKU!$C:$C,MATCH(B225,T2_GroupSKU!$A:$A,0)),T1_ProductType!$A:$A,0)),"")</f>
        <v>Can</v>
      </c>
      <c r="F225" s="10" t="str">
        <f t="array" ref="F225">IFERROR(INDEX(T1_ProductType!$D:$D,MATCH(INDEX(T2_GroupSKU!$C:$C,MATCH(B225,T2_GroupSKU!$A:$A,0)),T1_ProductType!$A:$A,0)),"")</f>
        <v>Plastic Barrels</v>
      </c>
      <c r="G225" s="10" t="str">
        <f t="array" ref="G225">IFERROR(IF(INDEX(T1_ProductType!$E:$E,MATCH(INDEX(T2_GroupSKU!$C:$C,MATCH(B225,T2_GroupSKU!$A:$A,0)),T1_ProductType!$A:$A,0))="","-",INDEX(T1_ProductType!$E:$E,MATCH(INDEX(T2_GroupSKU!$C:$C,MATCH(B225,T2_GroupSKU!$A:$A,0)),T1_ProductType!$A:$A,0))),"-")</f>
        <v>Mouth-Zip Can</v>
      </c>
      <c r="H225" s="10">
        <f t="array" ref="H225">IFERROR(IF(INDEX(T2_GroupSKU!$D:$D,MATCH(B225,T2_GroupSKU!$A:$A,0))="","-",INDEX(T2_GroupSKU!$D:$D,MATCH(B225,T2_GroupSKU!$A:$A,0))),"-")</f>
        <v>30</v>
      </c>
      <c r="I225" s="10" t="str">
        <f t="array" ref="I225">IFERROR(IF(INDEX(T2_GroupSKU!$E:$E,MATCH(B225,T2_GroupSKU!$A:$A,0))="","-",INDEX(T2_GroupSKU!$E:$E,MATCH(B225,T2_GroupSKU!$A:$A,0))),"-")</f>
        <v>LTR</v>
      </c>
      <c r="J225" s="10" t="str">
        <f>T3_SKU!C225</f>
        <v>White / 1.8 KG</v>
      </c>
      <c r="K225" s="10" t="str">
        <f>T3_SKU!D225</f>
        <v>30 LTR WHITE M/Z 1.8 KG</v>
      </c>
      <c r="L225" s="10" t="str">
        <f>T3_SKU!E225</f>
        <v>NOS</v>
      </c>
      <c r="M225" s="10" t="str">
        <f>T3_SKU!F225</f>
        <v>39233090</v>
      </c>
    </row>
    <row r="226" ht="15.0" customHeight="1">
      <c r="A226" s="10" t="str">
        <f>T3_SKU!A226</f>
        <v>MZC-30-YEL-18KG</v>
      </c>
      <c r="B226" s="10" t="str">
        <f>T3_SKU!B226</f>
        <v>MZC-30</v>
      </c>
      <c r="C226" s="10" t="str">
        <f t="array" ref="C226">IFERROR(INDEX(T2_GroupSKU!$B:$B,MATCH(B226,T2_GroupSKU!$A:$A,0)),"")</f>
        <v>M/Z Can - 30.0 LTR</v>
      </c>
      <c r="D226" s="10" t="str">
        <f t="array" ref="D226">IFERROR(INDEX(T1_ProductType!$B:$B,MATCH(INDEX(T2_GroupSKU!$C:$C,MATCH(B226,T2_GroupSKU!$A:$A,0)),T1_ProductType!$A:$A,0)),"")</f>
        <v>M/Z Can</v>
      </c>
      <c r="E226" s="10" t="str">
        <f t="array" ref="E226">IFERROR(INDEX(T1_ProductType!$C:$C,MATCH(INDEX(T2_GroupSKU!$C:$C,MATCH(B226,T2_GroupSKU!$A:$A,0)),T1_ProductType!$A:$A,0)),"")</f>
        <v>Can</v>
      </c>
      <c r="F226" s="10" t="str">
        <f t="array" ref="F226">IFERROR(INDEX(T1_ProductType!$D:$D,MATCH(INDEX(T2_GroupSKU!$C:$C,MATCH(B226,T2_GroupSKU!$A:$A,0)),T1_ProductType!$A:$A,0)),"")</f>
        <v>Plastic Barrels</v>
      </c>
      <c r="G226" s="10" t="str">
        <f t="array" ref="G226">IFERROR(IF(INDEX(T1_ProductType!$E:$E,MATCH(INDEX(T2_GroupSKU!$C:$C,MATCH(B226,T2_GroupSKU!$A:$A,0)),T1_ProductType!$A:$A,0))="","-",INDEX(T1_ProductType!$E:$E,MATCH(INDEX(T2_GroupSKU!$C:$C,MATCH(B226,T2_GroupSKU!$A:$A,0)),T1_ProductType!$A:$A,0))),"-")</f>
        <v>Mouth-Zip Can</v>
      </c>
      <c r="H226" s="10">
        <f t="array" ref="H226">IFERROR(IF(INDEX(T2_GroupSKU!$D:$D,MATCH(B226,T2_GroupSKU!$A:$A,0))="","-",INDEX(T2_GroupSKU!$D:$D,MATCH(B226,T2_GroupSKU!$A:$A,0))),"-")</f>
        <v>30</v>
      </c>
      <c r="I226" s="10" t="str">
        <f t="array" ref="I226">IFERROR(IF(INDEX(T2_GroupSKU!$E:$E,MATCH(B226,T2_GroupSKU!$A:$A,0))="","-",INDEX(T2_GroupSKU!$E:$E,MATCH(B226,T2_GroupSKU!$A:$A,0))),"-")</f>
        <v>LTR</v>
      </c>
      <c r="J226" s="10" t="str">
        <f>T3_SKU!C226</f>
        <v>Yellow / 1.8 KG</v>
      </c>
      <c r="K226" s="10" t="str">
        <f>T3_SKU!D226</f>
        <v>30 LTR YELLOW M/Z 1.8 KG</v>
      </c>
      <c r="L226" s="10" t="str">
        <f>T3_SKU!E226</f>
        <v>NOS</v>
      </c>
      <c r="M226" s="10" t="str">
        <f>T3_SKU!F226</f>
        <v>39233090</v>
      </c>
    </row>
    <row r="227" ht="15.0" customHeight="1">
      <c r="A227" s="10" t="str">
        <f>T3_SKU!A227</f>
        <v>MZC-32-BLU-22KG</v>
      </c>
      <c r="B227" s="10" t="str">
        <f>T3_SKU!B227</f>
        <v>MZC-32</v>
      </c>
      <c r="C227" s="10" t="str">
        <f t="array" ref="C227">IFERROR(INDEX(T2_GroupSKU!$B:$B,MATCH(B227,T2_GroupSKU!$A:$A,0)),"")</f>
        <v>M/Z Can - 32.0 LTR</v>
      </c>
      <c r="D227" s="10" t="str">
        <f t="array" ref="D227">IFERROR(INDEX(T1_ProductType!$B:$B,MATCH(INDEX(T2_GroupSKU!$C:$C,MATCH(B227,T2_GroupSKU!$A:$A,0)),T1_ProductType!$A:$A,0)),"")</f>
        <v>M/Z Can</v>
      </c>
      <c r="E227" s="10" t="str">
        <f t="array" ref="E227">IFERROR(INDEX(T1_ProductType!$C:$C,MATCH(INDEX(T2_GroupSKU!$C:$C,MATCH(B227,T2_GroupSKU!$A:$A,0)),T1_ProductType!$A:$A,0)),"")</f>
        <v>Can</v>
      </c>
      <c r="F227" s="10" t="str">
        <f t="array" ref="F227">IFERROR(INDEX(T1_ProductType!$D:$D,MATCH(INDEX(T2_GroupSKU!$C:$C,MATCH(B227,T2_GroupSKU!$A:$A,0)),T1_ProductType!$A:$A,0)),"")</f>
        <v>Plastic Barrels</v>
      </c>
      <c r="G227" s="10" t="str">
        <f t="array" ref="G227">IFERROR(IF(INDEX(T1_ProductType!$E:$E,MATCH(INDEX(T2_GroupSKU!$C:$C,MATCH(B227,T2_GroupSKU!$A:$A,0)),T1_ProductType!$A:$A,0))="","-",INDEX(T1_ProductType!$E:$E,MATCH(INDEX(T2_GroupSKU!$C:$C,MATCH(B227,T2_GroupSKU!$A:$A,0)),T1_ProductType!$A:$A,0))),"-")</f>
        <v>Mouth-Zip Can</v>
      </c>
      <c r="H227" s="10">
        <f t="array" ref="H227">IFERROR(IF(INDEX(T2_GroupSKU!$D:$D,MATCH(B227,T2_GroupSKU!$A:$A,0))="","-",INDEX(T2_GroupSKU!$D:$D,MATCH(B227,T2_GroupSKU!$A:$A,0))),"-")</f>
        <v>32</v>
      </c>
      <c r="I227" s="10" t="str">
        <f t="array" ref="I227">IFERROR(IF(INDEX(T2_GroupSKU!$E:$E,MATCH(B227,T2_GroupSKU!$A:$A,0))="","-",INDEX(T2_GroupSKU!$E:$E,MATCH(B227,T2_GroupSKU!$A:$A,0))),"-")</f>
        <v>LTR</v>
      </c>
      <c r="J227" s="10" t="str">
        <f>T3_SKU!C227</f>
        <v>Blue / 2.2 KG</v>
      </c>
      <c r="K227" s="10" t="str">
        <f>T3_SKU!D227</f>
        <v>32 LTR BLUE M/Z 2.2 KG</v>
      </c>
      <c r="L227" s="10" t="str">
        <f>T3_SKU!E227</f>
        <v>NOS</v>
      </c>
      <c r="M227" s="10" t="str">
        <f>T3_SKU!F227</f>
        <v>39233090</v>
      </c>
    </row>
    <row r="228" ht="15.0" customHeight="1">
      <c r="A228" s="10" t="str">
        <f>T3_SKU!A228</f>
        <v>MZC-32-WHT-22KG</v>
      </c>
      <c r="B228" s="10" t="str">
        <f>T3_SKU!B228</f>
        <v>MZC-32</v>
      </c>
      <c r="C228" s="10" t="str">
        <f t="array" ref="C228">IFERROR(INDEX(T2_GroupSKU!$B:$B,MATCH(B228,T2_GroupSKU!$A:$A,0)),"")</f>
        <v>M/Z Can - 32.0 LTR</v>
      </c>
      <c r="D228" s="10" t="str">
        <f t="array" ref="D228">IFERROR(INDEX(T1_ProductType!$B:$B,MATCH(INDEX(T2_GroupSKU!$C:$C,MATCH(B228,T2_GroupSKU!$A:$A,0)),T1_ProductType!$A:$A,0)),"")</f>
        <v>M/Z Can</v>
      </c>
      <c r="E228" s="10" t="str">
        <f t="array" ref="E228">IFERROR(INDEX(T1_ProductType!$C:$C,MATCH(INDEX(T2_GroupSKU!$C:$C,MATCH(B228,T2_GroupSKU!$A:$A,0)),T1_ProductType!$A:$A,0)),"")</f>
        <v>Can</v>
      </c>
      <c r="F228" s="10" t="str">
        <f t="array" ref="F228">IFERROR(INDEX(T1_ProductType!$D:$D,MATCH(INDEX(T2_GroupSKU!$C:$C,MATCH(B228,T2_GroupSKU!$A:$A,0)),T1_ProductType!$A:$A,0)),"")</f>
        <v>Plastic Barrels</v>
      </c>
      <c r="G228" s="10" t="str">
        <f t="array" ref="G228">IFERROR(IF(INDEX(T1_ProductType!$E:$E,MATCH(INDEX(T2_GroupSKU!$C:$C,MATCH(B228,T2_GroupSKU!$A:$A,0)),T1_ProductType!$A:$A,0))="","-",INDEX(T1_ProductType!$E:$E,MATCH(INDEX(T2_GroupSKU!$C:$C,MATCH(B228,T2_GroupSKU!$A:$A,0)),T1_ProductType!$A:$A,0))),"-")</f>
        <v>Mouth-Zip Can</v>
      </c>
      <c r="H228" s="10">
        <f t="array" ref="H228">IFERROR(IF(INDEX(T2_GroupSKU!$D:$D,MATCH(B228,T2_GroupSKU!$A:$A,0))="","-",INDEX(T2_GroupSKU!$D:$D,MATCH(B228,T2_GroupSKU!$A:$A,0))),"-")</f>
        <v>32</v>
      </c>
      <c r="I228" s="10" t="str">
        <f t="array" ref="I228">IFERROR(IF(INDEX(T2_GroupSKU!$E:$E,MATCH(B228,T2_GroupSKU!$A:$A,0))="","-",INDEX(T2_GroupSKU!$E:$E,MATCH(B228,T2_GroupSKU!$A:$A,0))),"-")</f>
        <v>LTR</v>
      </c>
      <c r="J228" s="10" t="str">
        <f>T3_SKU!C228</f>
        <v>White / 2.2 KG</v>
      </c>
      <c r="K228" s="10" t="str">
        <f>T3_SKU!D228</f>
        <v>32 LTR WHITE M/Z 2.2 KG</v>
      </c>
      <c r="L228" s="10" t="str">
        <f>T3_SKU!E228</f>
        <v>NOS</v>
      </c>
      <c r="M228" s="10" t="str">
        <f>T3_SKU!F228</f>
        <v>39233090</v>
      </c>
    </row>
    <row r="229" ht="15.0" customHeight="1">
      <c r="A229" s="10" t="str">
        <f>T3_SKU!A229</f>
        <v>MZC-35-BLK-16KG</v>
      </c>
      <c r="B229" s="10" t="str">
        <f>T3_SKU!B229</f>
        <v>MZC-35</v>
      </c>
      <c r="C229" s="10" t="str">
        <f t="array" ref="C229">IFERROR(INDEX(T2_GroupSKU!$B:$B,MATCH(B229,T2_GroupSKU!$A:$A,0)),"")</f>
        <v>M/Z Can - 35.0 LTR</v>
      </c>
      <c r="D229" s="10" t="str">
        <f t="array" ref="D229">IFERROR(INDEX(T1_ProductType!$B:$B,MATCH(INDEX(T2_GroupSKU!$C:$C,MATCH(B229,T2_GroupSKU!$A:$A,0)),T1_ProductType!$A:$A,0)),"")</f>
        <v>M/Z Can</v>
      </c>
      <c r="E229" s="10" t="str">
        <f t="array" ref="E229">IFERROR(INDEX(T1_ProductType!$C:$C,MATCH(INDEX(T2_GroupSKU!$C:$C,MATCH(B229,T2_GroupSKU!$A:$A,0)),T1_ProductType!$A:$A,0)),"")</f>
        <v>Can</v>
      </c>
      <c r="F229" s="10" t="str">
        <f t="array" ref="F229">IFERROR(INDEX(T1_ProductType!$D:$D,MATCH(INDEX(T2_GroupSKU!$C:$C,MATCH(B229,T2_GroupSKU!$A:$A,0)),T1_ProductType!$A:$A,0)),"")</f>
        <v>Plastic Barrels</v>
      </c>
      <c r="G229" s="10" t="str">
        <f t="array" ref="G229">IFERROR(IF(INDEX(T1_ProductType!$E:$E,MATCH(INDEX(T2_GroupSKU!$C:$C,MATCH(B229,T2_GroupSKU!$A:$A,0)),T1_ProductType!$A:$A,0))="","-",INDEX(T1_ProductType!$E:$E,MATCH(INDEX(T2_GroupSKU!$C:$C,MATCH(B229,T2_GroupSKU!$A:$A,0)),T1_ProductType!$A:$A,0))),"-")</f>
        <v>Mouth-Zip Can</v>
      </c>
      <c r="H229" s="10">
        <f t="array" ref="H229">IFERROR(IF(INDEX(T2_GroupSKU!$D:$D,MATCH(B229,T2_GroupSKU!$A:$A,0))="","-",INDEX(T2_GroupSKU!$D:$D,MATCH(B229,T2_GroupSKU!$A:$A,0))),"-")</f>
        <v>35</v>
      </c>
      <c r="I229" s="10" t="str">
        <f t="array" ref="I229">IFERROR(IF(INDEX(T2_GroupSKU!$E:$E,MATCH(B229,T2_GroupSKU!$A:$A,0))="","-",INDEX(T2_GroupSKU!$E:$E,MATCH(B229,T2_GroupSKU!$A:$A,0))),"-")</f>
        <v>LTR</v>
      </c>
      <c r="J229" s="10" t="str">
        <f>T3_SKU!C229</f>
        <v>Black / 1.6 KG</v>
      </c>
      <c r="K229" s="10" t="str">
        <f>T3_SKU!D229</f>
        <v>35 LTR BLACK M/Z 1.6 KG</v>
      </c>
      <c r="L229" s="10" t="str">
        <f>T3_SKU!E229</f>
        <v>NOS</v>
      </c>
      <c r="M229" s="10" t="str">
        <f>T3_SKU!F229</f>
        <v>39233090</v>
      </c>
    </row>
    <row r="230" ht="15.0" customHeight="1">
      <c r="A230" s="10" t="str">
        <f>T3_SKU!A230</f>
        <v>MZC-35-BLK-19KG</v>
      </c>
      <c r="B230" s="10" t="str">
        <f>T3_SKU!B230</f>
        <v>MZC-35</v>
      </c>
      <c r="C230" s="10" t="str">
        <f t="array" ref="C230">IFERROR(INDEX(T2_GroupSKU!$B:$B,MATCH(B230,T2_GroupSKU!$A:$A,0)),"")</f>
        <v>M/Z Can - 35.0 LTR</v>
      </c>
      <c r="D230" s="10" t="str">
        <f t="array" ref="D230">IFERROR(INDEX(T1_ProductType!$B:$B,MATCH(INDEX(T2_GroupSKU!$C:$C,MATCH(B230,T2_GroupSKU!$A:$A,0)),T1_ProductType!$A:$A,0)),"")</f>
        <v>M/Z Can</v>
      </c>
      <c r="E230" s="10" t="str">
        <f t="array" ref="E230">IFERROR(INDEX(T1_ProductType!$C:$C,MATCH(INDEX(T2_GroupSKU!$C:$C,MATCH(B230,T2_GroupSKU!$A:$A,0)),T1_ProductType!$A:$A,0)),"")</f>
        <v>Can</v>
      </c>
      <c r="F230" s="10" t="str">
        <f t="array" ref="F230">IFERROR(INDEX(T1_ProductType!$D:$D,MATCH(INDEX(T2_GroupSKU!$C:$C,MATCH(B230,T2_GroupSKU!$A:$A,0)),T1_ProductType!$A:$A,0)),"")</f>
        <v>Plastic Barrels</v>
      </c>
      <c r="G230" s="10" t="str">
        <f t="array" ref="G230">IFERROR(IF(INDEX(T1_ProductType!$E:$E,MATCH(INDEX(T2_GroupSKU!$C:$C,MATCH(B230,T2_GroupSKU!$A:$A,0)),T1_ProductType!$A:$A,0))="","-",INDEX(T1_ProductType!$E:$E,MATCH(INDEX(T2_GroupSKU!$C:$C,MATCH(B230,T2_GroupSKU!$A:$A,0)),T1_ProductType!$A:$A,0))),"-")</f>
        <v>Mouth-Zip Can</v>
      </c>
      <c r="H230" s="10">
        <f t="array" ref="H230">IFERROR(IF(INDEX(T2_GroupSKU!$D:$D,MATCH(B230,T2_GroupSKU!$A:$A,0))="","-",INDEX(T2_GroupSKU!$D:$D,MATCH(B230,T2_GroupSKU!$A:$A,0))),"-")</f>
        <v>35</v>
      </c>
      <c r="I230" s="10" t="str">
        <f t="array" ref="I230">IFERROR(IF(INDEX(T2_GroupSKU!$E:$E,MATCH(B230,T2_GroupSKU!$A:$A,0))="","-",INDEX(T2_GroupSKU!$E:$E,MATCH(B230,T2_GroupSKU!$A:$A,0))),"-")</f>
        <v>LTR</v>
      </c>
      <c r="J230" s="10" t="str">
        <f>T3_SKU!C230</f>
        <v>Black / 1.9 KG</v>
      </c>
      <c r="K230" s="10" t="str">
        <f>T3_SKU!D230</f>
        <v>35 LTR BLACK M/Z 1.9 KG</v>
      </c>
      <c r="L230" s="10" t="str">
        <f>T3_SKU!E230</f>
        <v>NOS</v>
      </c>
      <c r="M230" s="10" t="str">
        <f>T3_SKU!F230</f>
        <v>39233090</v>
      </c>
    </row>
    <row r="231" ht="15.0" customHeight="1">
      <c r="A231" s="10" t="str">
        <f>T3_SKU!A231</f>
        <v>MZC-35-BLU-1565KG</v>
      </c>
      <c r="B231" s="10" t="str">
        <f>T3_SKU!B231</f>
        <v>MZC-35</v>
      </c>
      <c r="C231" s="10" t="str">
        <f t="array" ref="C231">IFERROR(INDEX(T2_GroupSKU!$B:$B,MATCH(B231,T2_GroupSKU!$A:$A,0)),"")</f>
        <v>M/Z Can - 35.0 LTR</v>
      </c>
      <c r="D231" s="10" t="str">
        <f t="array" ref="D231">IFERROR(INDEX(T1_ProductType!$B:$B,MATCH(INDEX(T2_GroupSKU!$C:$C,MATCH(B231,T2_GroupSKU!$A:$A,0)),T1_ProductType!$A:$A,0)),"")</f>
        <v>M/Z Can</v>
      </c>
      <c r="E231" s="10" t="str">
        <f t="array" ref="E231">IFERROR(INDEX(T1_ProductType!$C:$C,MATCH(INDEX(T2_GroupSKU!$C:$C,MATCH(B231,T2_GroupSKU!$A:$A,0)),T1_ProductType!$A:$A,0)),"")</f>
        <v>Can</v>
      </c>
      <c r="F231" s="10" t="str">
        <f t="array" ref="F231">IFERROR(INDEX(T1_ProductType!$D:$D,MATCH(INDEX(T2_GroupSKU!$C:$C,MATCH(B231,T2_GroupSKU!$A:$A,0)),T1_ProductType!$A:$A,0)),"")</f>
        <v>Plastic Barrels</v>
      </c>
      <c r="G231" s="10" t="str">
        <f t="array" ref="G231">IFERROR(IF(INDEX(T1_ProductType!$E:$E,MATCH(INDEX(T2_GroupSKU!$C:$C,MATCH(B231,T2_GroupSKU!$A:$A,0)),T1_ProductType!$A:$A,0))="","-",INDEX(T1_ProductType!$E:$E,MATCH(INDEX(T2_GroupSKU!$C:$C,MATCH(B231,T2_GroupSKU!$A:$A,0)),T1_ProductType!$A:$A,0))),"-")</f>
        <v>Mouth-Zip Can</v>
      </c>
      <c r="H231" s="10">
        <f t="array" ref="H231">IFERROR(IF(INDEX(T2_GroupSKU!$D:$D,MATCH(B231,T2_GroupSKU!$A:$A,0))="","-",INDEX(T2_GroupSKU!$D:$D,MATCH(B231,T2_GroupSKU!$A:$A,0))),"-")</f>
        <v>35</v>
      </c>
      <c r="I231" s="10" t="str">
        <f t="array" ref="I231">IFERROR(IF(INDEX(T2_GroupSKU!$E:$E,MATCH(B231,T2_GroupSKU!$A:$A,0))="","-",INDEX(T2_GroupSKU!$E:$E,MATCH(B231,T2_GroupSKU!$A:$A,0))),"-")</f>
        <v>LTR</v>
      </c>
      <c r="J231" s="10" t="str">
        <f>T3_SKU!C231</f>
        <v>Blue / 1.565 KG</v>
      </c>
      <c r="K231" s="10" t="str">
        <f>T3_SKU!D231</f>
        <v>35 LTR BLUE M/Z 1.565 KG</v>
      </c>
      <c r="L231" s="10" t="str">
        <f>T3_SKU!E231</f>
        <v>NOS</v>
      </c>
      <c r="M231" s="10" t="str">
        <f>T3_SKU!F231</f>
        <v>39233090</v>
      </c>
    </row>
    <row r="232" ht="15.0" customHeight="1">
      <c r="A232" s="10" t="str">
        <f>T3_SKU!A232</f>
        <v>MZC-35-BLU-15KG</v>
      </c>
      <c r="B232" s="10" t="str">
        <f>T3_SKU!B232</f>
        <v>MZC-35</v>
      </c>
      <c r="C232" s="10" t="str">
        <f t="array" ref="C232">IFERROR(INDEX(T2_GroupSKU!$B:$B,MATCH(B232,T2_GroupSKU!$A:$A,0)),"")</f>
        <v>M/Z Can - 35.0 LTR</v>
      </c>
      <c r="D232" s="10" t="str">
        <f t="array" ref="D232">IFERROR(INDEX(T1_ProductType!$B:$B,MATCH(INDEX(T2_GroupSKU!$C:$C,MATCH(B232,T2_GroupSKU!$A:$A,0)),T1_ProductType!$A:$A,0)),"")</f>
        <v>M/Z Can</v>
      </c>
      <c r="E232" s="10" t="str">
        <f t="array" ref="E232">IFERROR(INDEX(T1_ProductType!$C:$C,MATCH(INDEX(T2_GroupSKU!$C:$C,MATCH(B232,T2_GroupSKU!$A:$A,0)),T1_ProductType!$A:$A,0)),"")</f>
        <v>Can</v>
      </c>
      <c r="F232" s="10" t="str">
        <f t="array" ref="F232">IFERROR(INDEX(T1_ProductType!$D:$D,MATCH(INDEX(T2_GroupSKU!$C:$C,MATCH(B232,T2_GroupSKU!$A:$A,0)),T1_ProductType!$A:$A,0)),"")</f>
        <v>Plastic Barrels</v>
      </c>
      <c r="G232" s="10" t="str">
        <f t="array" ref="G232">IFERROR(IF(INDEX(T1_ProductType!$E:$E,MATCH(INDEX(T2_GroupSKU!$C:$C,MATCH(B232,T2_GroupSKU!$A:$A,0)),T1_ProductType!$A:$A,0))="","-",INDEX(T1_ProductType!$E:$E,MATCH(INDEX(T2_GroupSKU!$C:$C,MATCH(B232,T2_GroupSKU!$A:$A,0)),T1_ProductType!$A:$A,0))),"-")</f>
        <v>Mouth-Zip Can</v>
      </c>
      <c r="H232" s="10">
        <f t="array" ref="H232">IFERROR(IF(INDEX(T2_GroupSKU!$D:$D,MATCH(B232,T2_GroupSKU!$A:$A,0))="","-",INDEX(T2_GroupSKU!$D:$D,MATCH(B232,T2_GroupSKU!$A:$A,0))),"-")</f>
        <v>35</v>
      </c>
      <c r="I232" s="10" t="str">
        <f t="array" ref="I232">IFERROR(IF(INDEX(T2_GroupSKU!$E:$E,MATCH(B232,T2_GroupSKU!$A:$A,0))="","-",INDEX(T2_GroupSKU!$E:$E,MATCH(B232,T2_GroupSKU!$A:$A,0))),"-")</f>
        <v>LTR</v>
      </c>
      <c r="J232" s="10" t="str">
        <f>T3_SKU!C232</f>
        <v>Blue / 1.5 KG</v>
      </c>
      <c r="K232" s="10" t="str">
        <f>T3_SKU!D232</f>
        <v>35 LTR BLUE M/Z 1.5 KG</v>
      </c>
      <c r="L232" s="10" t="str">
        <f>T3_SKU!E232</f>
        <v>NOS</v>
      </c>
      <c r="M232" s="10" t="str">
        <f>T3_SKU!F232</f>
        <v>39233090</v>
      </c>
    </row>
    <row r="233" ht="15.0" customHeight="1">
      <c r="A233" s="10" t="str">
        <f>T3_SKU!A233</f>
        <v>MZC-35-BLU-16KG</v>
      </c>
      <c r="B233" s="10" t="str">
        <f>T3_SKU!B233</f>
        <v>MZC-35</v>
      </c>
      <c r="C233" s="10" t="str">
        <f t="array" ref="C233">IFERROR(INDEX(T2_GroupSKU!$B:$B,MATCH(B233,T2_GroupSKU!$A:$A,0)),"")</f>
        <v>M/Z Can - 35.0 LTR</v>
      </c>
      <c r="D233" s="10" t="str">
        <f t="array" ref="D233">IFERROR(INDEX(T1_ProductType!$B:$B,MATCH(INDEX(T2_GroupSKU!$C:$C,MATCH(B233,T2_GroupSKU!$A:$A,0)),T1_ProductType!$A:$A,0)),"")</f>
        <v>M/Z Can</v>
      </c>
      <c r="E233" s="10" t="str">
        <f t="array" ref="E233">IFERROR(INDEX(T1_ProductType!$C:$C,MATCH(INDEX(T2_GroupSKU!$C:$C,MATCH(B233,T2_GroupSKU!$A:$A,0)),T1_ProductType!$A:$A,0)),"")</f>
        <v>Can</v>
      </c>
      <c r="F233" s="10" t="str">
        <f t="array" ref="F233">IFERROR(INDEX(T1_ProductType!$D:$D,MATCH(INDEX(T2_GroupSKU!$C:$C,MATCH(B233,T2_GroupSKU!$A:$A,0)),T1_ProductType!$A:$A,0)),"")</f>
        <v>Plastic Barrels</v>
      </c>
      <c r="G233" s="10" t="str">
        <f t="array" ref="G233">IFERROR(IF(INDEX(T1_ProductType!$E:$E,MATCH(INDEX(T2_GroupSKU!$C:$C,MATCH(B233,T2_GroupSKU!$A:$A,0)),T1_ProductType!$A:$A,0))="","-",INDEX(T1_ProductType!$E:$E,MATCH(INDEX(T2_GroupSKU!$C:$C,MATCH(B233,T2_GroupSKU!$A:$A,0)),T1_ProductType!$A:$A,0))),"-")</f>
        <v>Mouth-Zip Can</v>
      </c>
      <c r="H233" s="10">
        <f t="array" ref="H233">IFERROR(IF(INDEX(T2_GroupSKU!$D:$D,MATCH(B233,T2_GroupSKU!$A:$A,0))="","-",INDEX(T2_GroupSKU!$D:$D,MATCH(B233,T2_GroupSKU!$A:$A,0))),"-")</f>
        <v>35</v>
      </c>
      <c r="I233" s="10" t="str">
        <f t="array" ref="I233">IFERROR(IF(INDEX(T2_GroupSKU!$E:$E,MATCH(B233,T2_GroupSKU!$A:$A,0))="","-",INDEX(T2_GroupSKU!$E:$E,MATCH(B233,T2_GroupSKU!$A:$A,0))),"-")</f>
        <v>LTR</v>
      </c>
      <c r="J233" s="10" t="str">
        <f>T3_SKU!C233</f>
        <v>Blue / 1.6 KG</v>
      </c>
      <c r="K233" s="10" t="str">
        <f>T3_SKU!D233</f>
        <v>35 LTR BLUE M/Z 1.6 KG</v>
      </c>
      <c r="L233" s="10" t="str">
        <f>T3_SKU!E233</f>
        <v>NOS</v>
      </c>
      <c r="M233" s="10" t="str">
        <f>T3_SKU!F233</f>
        <v>39233090</v>
      </c>
    </row>
    <row r="234" ht="15.0" customHeight="1">
      <c r="A234" s="10" t="str">
        <f>T3_SKU!A234</f>
        <v>MZC-35-BLU-17KG</v>
      </c>
      <c r="B234" s="10" t="str">
        <f>T3_SKU!B234</f>
        <v>MZC-35</v>
      </c>
      <c r="C234" s="10" t="str">
        <f t="array" ref="C234">IFERROR(INDEX(T2_GroupSKU!$B:$B,MATCH(B234,T2_GroupSKU!$A:$A,0)),"")</f>
        <v>M/Z Can - 35.0 LTR</v>
      </c>
      <c r="D234" s="10" t="str">
        <f t="array" ref="D234">IFERROR(INDEX(T1_ProductType!$B:$B,MATCH(INDEX(T2_GroupSKU!$C:$C,MATCH(B234,T2_GroupSKU!$A:$A,0)),T1_ProductType!$A:$A,0)),"")</f>
        <v>M/Z Can</v>
      </c>
      <c r="E234" s="10" t="str">
        <f t="array" ref="E234">IFERROR(INDEX(T1_ProductType!$C:$C,MATCH(INDEX(T2_GroupSKU!$C:$C,MATCH(B234,T2_GroupSKU!$A:$A,0)),T1_ProductType!$A:$A,0)),"")</f>
        <v>Can</v>
      </c>
      <c r="F234" s="10" t="str">
        <f t="array" ref="F234">IFERROR(INDEX(T1_ProductType!$D:$D,MATCH(INDEX(T2_GroupSKU!$C:$C,MATCH(B234,T2_GroupSKU!$A:$A,0)),T1_ProductType!$A:$A,0)),"")</f>
        <v>Plastic Barrels</v>
      </c>
      <c r="G234" s="10" t="str">
        <f t="array" ref="G234">IFERROR(IF(INDEX(T1_ProductType!$E:$E,MATCH(INDEX(T2_GroupSKU!$C:$C,MATCH(B234,T2_GroupSKU!$A:$A,0)),T1_ProductType!$A:$A,0))="","-",INDEX(T1_ProductType!$E:$E,MATCH(INDEX(T2_GroupSKU!$C:$C,MATCH(B234,T2_GroupSKU!$A:$A,0)),T1_ProductType!$A:$A,0))),"-")</f>
        <v>Mouth-Zip Can</v>
      </c>
      <c r="H234" s="10">
        <f t="array" ref="H234">IFERROR(IF(INDEX(T2_GroupSKU!$D:$D,MATCH(B234,T2_GroupSKU!$A:$A,0))="","-",INDEX(T2_GroupSKU!$D:$D,MATCH(B234,T2_GroupSKU!$A:$A,0))),"-")</f>
        <v>35</v>
      </c>
      <c r="I234" s="10" t="str">
        <f t="array" ref="I234">IFERROR(IF(INDEX(T2_GroupSKU!$E:$E,MATCH(B234,T2_GroupSKU!$A:$A,0))="","-",INDEX(T2_GroupSKU!$E:$E,MATCH(B234,T2_GroupSKU!$A:$A,0))),"-")</f>
        <v>LTR</v>
      </c>
      <c r="J234" s="10" t="str">
        <f>T3_SKU!C234</f>
        <v>Blue / 1.7 KG</v>
      </c>
      <c r="K234" s="10" t="str">
        <f>T3_SKU!D234</f>
        <v>35 LTR BLUE M/Z 1.7 KG</v>
      </c>
      <c r="L234" s="10" t="str">
        <f>T3_SKU!E234</f>
        <v>nos</v>
      </c>
      <c r="M234" s="10" t="str">
        <f>T3_SKU!F234</f>
        <v>39233090</v>
      </c>
    </row>
    <row r="235" ht="15.0" customHeight="1">
      <c r="A235" s="10" t="str">
        <f>T3_SKU!A235</f>
        <v>MZC-35-BLU-18KG</v>
      </c>
      <c r="B235" s="10" t="str">
        <f>T3_SKU!B235</f>
        <v>MZC-35</v>
      </c>
      <c r="C235" s="10" t="str">
        <f t="array" ref="C235">IFERROR(INDEX(T2_GroupSKU!$B:$B,MATCH(B235,T2_GroupSKU!$A:$A,0)),"")</f>
        <v>M/Z Can - 35.0 LTR</v>
      </c>
      <c r="D235" s="10" t="str">
        <f t="array" ref="D235">IFERROR(INDEX(T1_ProductType!$B:$B,MATCH(INDEX(T2_GroupSKU!$C:$C,MATCH(B235,T2_GroupSKU!$A:$A,0)),T1_ProductType!$A:$A,0)),"")</f>
        <v>M/Z Can</v>
      </c>
      <c r="E235" s="10" t="str">
        <f t="array" ref="E235">IFERROR(INDEX(T1_ProductType!$C:$C,MATCH(INDEX(T2_GroupSKU!$C:$C,MATCH(B235,T2_GroupSKU!$A:$A,0)),T1_ProductType!$A:$A,0)),"")</f>
        <v>Can</v>
      </c>
      <c r="F235" s="10" t="str">
        <f t="array" ref="F235">IFERROR(INDEX(T1_ProductType!$D:$D,MATCH(INDEX(T2_GroupSKU!$C:$C,MATCH(B235,T2_GroupSKU!$A:$A,0)),T1_ProductType!$A:$A,0)),"")</f>
        <v>Plastic Barrels</v>
      </c>
      <c r="G235" s="10" t="str">
        <f t="array" ref="G235">IFERROR(IF(INDEX(T1_ProductType!$E:$E,MATCH(INDEX(T2_GroupSKU!$C:$C,MATCH(B235,T2_GroupSKU!$A:$A,0)),T1_ProductType!$A:$A,0))="","-",INDEX(T1_ProductType!$E:$E,MATCH(INDEX(T2_GroupSKU!$C:$C,MATCH(B235,T2_GroupSKU!$A:$A,0)),T1_ProductType!$A:$A,0))),"-")</f>
        <v>Mouth-Zip Can</v>
      </c>
      <c r="H235" s="10">
        <f t="array" ref="H235">IFERROR(IF(INDEX(T2_GroupSKU!$D:$D,MATCH(B235,T2_GroupSKU!$A:$A,0))="","-",INDEX(T2_GroupSKU!$D:$D,MATCH(B235,T2_GroupSKU!$A:$A,0))),"-")</f>
        <v>35</v>
      </c>
      <c r="I235" s="10" t="str">
        <f t="array" ref="I235">IFERROR(IF(INDEX(T2_GroupSKU!$E:$E,MATCH(B235,T2_GroupSKU!$A:$A,0))="","-",INDEX(T2_GroupSKU!$E:$E,MATCH(B235,T2_GroupSKU!$A:$A,0))),"-")</f>
        <v>LTR</v>
      </c>
      <c r="J235" s="10" t="str">
        <f>T3_SKU!C235</f>
        <v>Blue / 1.8 KG</v>
      </c>
      <c r="K235" s="10" t="str">
        <f>T3_SKU!D235</f>
        <v>35 LTR BLUE M/Z 1.8 KG</v>
      </c>
      <c r="L235" s="10" t="str">
        <f>T3_SKU!E235</f>
        <v>NOS</v>
      </c>
      <c r="M235" s="10" t="str">
        <f>T3_SKU!F235</f>
        <v>39233090</v>
      </c>
    </row>
    <row r="236" ht="15.0" customHeight="1">
      <c r="A236" s="10" t="str">
        <f>T3_SKU!A236</f>
        <v>MZC-35-BLU-20KG</v>
      </c>
      <c r="B236" s="10" t="str">
        <f>T3_SKU!B236</f>
        <v>MZC-35</v>
      </c>
      <c r="C236" s="10" t="str">
        <f t="array" ref="C236">IFERROR(INDEX(T2_GroupSKU!$B:$B,MATCH(B236,T2_GroupSKU!$A:$A,0)),"")</f>
        <v>M/Z Can - 35.0 LTR</v>
      </c>
      <c r="D236" s="10" t="str">
        <f t="array" ref="D236">IFERROR(INDEX(T1_ProductType!$B:$B,MATCH(INDEX(T2_GroupSKU!$C:$C,MATCH(B236,T2_GroupSKU!$A:$A,0)),T1_ProductType!$A:$A,0)),"")</f>
        <v>M/Z Can</v>
      </c>
      <c r="E236" s="10" t="str">
        <f t="array" ref="E236">IFERROR(INDEX(T1_ProductType!$C:$C,MATCH(INDEX(T2_GroupSKU!$C:$C,MATCH(B236,T2_GroupSKU!$A:$A,0)),T1_ProductType!$A:$A,0)),"")</f>
        <v>Can</v>
      </c>
      <c r="F236" s="10" t="str">
        <f t="array" ref="F236">IFERROR(INDEX(T1_ProductType!$D:$D,MATCH(INDEX(T2_GroupSKU!$C:$C,MATCH(B236,T2_GroupSKU!$A:$A,0)),T1_ProductType!$A:$A,0)),"")</f>
        <v>Plastic Barrels</v>
      </c>
      <c r="G236" s="10" t="str">
        <f t="array" ref="G236">IFERROR(IF(INDEX(T1_ProductType!$E:$E,MATCH(INDEX(T2_GroupSKU!$C:$C,MATCH(B236,T2_GroupSKU!$A:$A,0)),T1_ProductType!$A:$A,0))="","-",INDEX(T1_ProductType!$E:$E,MATCH(INDEX(T2_GroupSKU!$C:$C,MATCH(B236,T2_GroupSKU!$A:$A,0)),T1_ProductType!$A:$A,0))),"-")</f>
        <v>Mouth-Zip Can</v>
      </c>
      <c r="H236" s="10">
        <f t="array" ref="H236">IFERROR(IF(INDEX(T2_GroupSKU!$D:$D,MATCH(B236,T2_GroupSKU!$A:$A,0))="","-",INDEX(T2_GroupSKU!$D:$D,MATCH(B236,T2_GroupSKU!$A:$A,0))),"-")</f>
        <v>35</v>
      </c>
      <c r="I236" s="10" t="str">
        <f t="array" ref="I236">IFERROR(IF(INDEX(T2_GroupSKU!$E:$E,MATCH(B236,T2_GroupSKU!$A:$A,0))="","-",INDEX(T2_GroupSKU!$E:$E,MATCH(B236,T2_GroupSKU!$A:$A,0))),"-")</f>
        <v>LTR</v>
      </c>
      <c r="J236" s="10" t="str">
        <f>T3_SKU!C236</f>
        <v>Blue / 2.0 KG</v>
      </c>
      <c r="K236" s="10" t="str">
        <f>T3_SKU!D236</f>
        <v>35 LTR BLUE M/Z 2.0 KG</v>
      </c>
      <c r="L236" s="10" t="str">
        <f>T3_SKU!E236</f>
        <v>NOS</v>
      </c>
      <c r="M236" s="10" t="str">
        <f>T3_SKU!F236</f>
        <v>39233090</v>
      </c>
    </row>
    <row r="237" ht="15.0" customHeight="1">
      <c r="A237" s="10" t="str">
        <f>T3_SKU!A237</f>
        <v>MZC-35-BLU-21KG</v>
      </c>
      <c r="B237" s="10" t="str">
        <f>T3_SKU!B237</f>
        <v>MZC-35</v>
      </c>
      <c r="C237" s="10" t="str">
        <f t="array" ref="C237">IFERROR(INDEX(T2_GroupSKU!$B:$B,MATCH(B237,T2_GroupSKU!$A:$A,0)),"")</f>
        <v>M/Z Can - 35.0 LTR</v>
      </c>
      <c r="D237" s="10" t="str">
        <f t="array" ref="D237">IFERROR(INDEX(T1_ProductType!$B:$B,MATCH(INDEX(T2_GroupSKU!$C:$C,MATCH(B237,T2_GroupSKU!$A:$A,0)),T1_ProductType!$A:$A,0)),"")</f>
        <v>M/Z Can</v>
      </c>
      <c r="E237" s="10" t="str">
        <f t="array" ref="E237">IFERROR(INDEX(T1_ProductType!$C:$C,MATCH(INDEX(T2_GroupSKU!$C:$C,MATCH(B237,T2_GroupSKU!$A:$A,0)),T1_ProductType!$A:$A,0)),"")</f>
        <v>Can</v>
      </c>
      <c r="F237" s="10" t="str">
        <f t="array" ref="F237">IFERROR(INDEX(T1_ProductType!$D:$D,MATCH(INDEX(T2_GroupSKU!$C:$C,MATCH(B237,T2_GroupSKU!$A:$A,0)),T1_ProductType!$A:$A,0)),"")</f>
        <v>Plastic Barrels</v>
      </c>
      <c r="G237" s="10" t="str">
        <f t="array" ref="G237">IFERROR(IF(INDEX(T1_ProductType!$E:$E,MATCH(INDEX(T2_GroupSKU!$C:$C,MATCH(B237,T2_GroupSKU!$A:$A,0)),T1_ProductType!$A:$A,0))="","-",INDEX(T1_ProductType!$E:$E,MATCH(INDEX(T2_GroupSKU!$C:$C,MATCH(B237,T2_GroupSKU!$A:$A,0)),T1_ProductType!$A:$A,0))),"-")</f>
        <v>Mouth-Zip Can</v>
      </c>
      <c r="H237" s="10">
        <f t="array" ref="H237">IFERROR(IF(INDEX(T2_GroupSKU!$D:$D,MATCH(B237,T2_GroupSKU!$A:$A,0))="","-",INDEX(T2_GroupSKU!$D:$D,MATCH(B237,T2_GroupSKU!$A:$A,0))),"-")</f>
        <v>35</v>
      </c>
      <c r="I237" s="10" t="str">
        <f t="array" ref="I237">IFERROR(IF(INDEX(T2_GroupSKU!$E:$E,MATCH(B237,T2_GroupSKU!$A:$A,0))="","-",INDEX(T2_GroupSKU!$E:$E,MATCH(B237,T2_GroupSKU!$A:$A,0))),"-")</f>
        <v>LTR</v>
      </c>
      <c r="J237" s="10" t="str">
        <f>T3_SKU!C237</f>
        <v>Blue / 2.1 KG</v>
      </c>
      <c r="K237" s="10" t="str">
        <f>T3_SKU!D237</f>
        <v>35 LTR BLUE M/Z 2.1 KG</v>
      </c>
      <c r="L237" s="10" t="str">
        <f>T3_SKU!E237</f>
        <v>NOS</v>
      </c>
      <c r="M237" s="10" t="str">
        <f>T3_SKU!F237</f>
        <v>39233090</v>
      </c>
    </row>
    <row r="238" ht="15.0" customHeight="1">
      <c r="A238" s="10" t="str">
        <f>T3_SKU!A238</f>
        <v>MZC-35-BLU-22KG</v>
      </c>
      <c r="B238" s="10" t="str">
        <f>T3_SKU!B238</f>
        <v>MZC-35</v>
      </c>
      <c r="C238" s="10" t="str">
        <f t="array" ref="C238">IFERROR(INDEX(T2_GroupSKU!$B:$B,MATCH(B238,T2_GroupSKU!$A:$A,0)),"")</f>
        <v>M/Z Can - 35.0 LTR</v>
      </c>
      <c r="D238" s="10" t="str">
        <f t="array" ref="D238">IFERROR(INDEX(T1_ProductType!$B:$B,MATCH(INDEX(T2_GroupSKU!$C:$C,MATCH(B238,T2_GroupSKU!$A:$A,0)),T1_ProductType!$A:$A,0)),"")</f>
        <v>M/Z Can</v>
      </c>
      <c r="E238" s="10" t="str">
        <f t="array" ref="E238">IFERROR(INDEX(T1_ProductType!$C:$C,MATCH(INDEX(T2_GroupSKU!$C:$C,MATCH(B238,T2_GroupSKU!$A:$A,0)),T1_ProductType!$A:$A,0)),"")</f>
        <v>Can</v>
      </c>
      <c r="F238" s="10" t="str">
        <f t="array" ref="F238">IFERROR(INDEX(T1_ProductType!$D:$D,MATCH(INDEX(T2_GroupSKU!$C:$C,MATCH(B238,T2_GroupSKU!$A:$A,0)),T1_ProductType!$A:$A,0)),"")</f>
        <v>Plastic Barrels</v>
      </c>
      <c r="G238" s="10" t="str">
        <f t="array" ref="G238">IFERROR(IF(INDEX(T1_ProductType!$E:$E,MATCH(INDEX(T2_GroupSKU!$C:$C,MATCH(B238,T2_GroupSKU!$A:$A,0)),T1_ProductType!$A:$A,0))="","-",INDEX(T1_ProductType!$E:$E,MATCH(INDEX(T2_GroupSKU!$C:$C,MATCH(B238,T2_GroupSKU!$A:$A,0)),T1_ProductType!$A:$A,0))),"-")</f>
        <v>Mouth-Zip Can</v>
      </c>
      <c r="H238" s="10">
        <f t="array" ref="H238">IFERROR(IF(INDEX(T2_GroupSKU!$D:$D,MATCH(B238,T2_GroupSKU!$A:$A,0))="","-",INDEX(T2_GroupSKU!$D:$D,MATCH(B238,T2_GroupSKU!$A:$A,0))),"-")</f>
        <v>35</v>
      </c>
      <c r="I238" s="10" t="str">
        <f t="array" ref="I238">IFERROR(IF(INDEX(T2_GroupSKU!$E:$E,MATCH(B238,T2_GroupSKU!$A:$A,0))="","-",INDEX(T2_GroupSKU!$E:$E,MATCH(B238,T2_GroupSKU!$A:$A,0))),"-")</f>
        <v>LTR</v>
      </c>
      <c r="J238" s="10" t="str">
        <f>T3_SKU!C238</f>
        <v>Blue / 2.2 KG</v>
      </c>
      <c r="K238" s="10" t="str">
        <f>T3_SKU!D238</f>
        <v>35 LTR BLUE M/Z 2.2 KG</v>
      </c>
      <c r="L238" s="10" t="str">
        <f>T3_SKU!E238</f>
        <v>NOS</v>
      </c>
      <c r="M238" s="10" t="str">
        <f>T3_SKU!F238</f>
        <v>39233090</v>
      </c>
    </row>
    <row r="239" ht="15.0" customHeight="1">
      <c r="A239" s="10" t="str">
        <f>T3_SKU!A239</f>
        <v>MZC-35-BLU-25KG</v>
      </c>
      <c r="B239" s="10" t="str">
        <f>T3_SKU!B239</f>
        <v>MZC-35</v>
      </c>
      <c r="C239" s="10" t="str">
        <f t="array" ref="C239">IFERROR(INDEX(T2_GroupSKU!$B:$B,MATCH(B239,T2_GroupSKU!$A:$A,0)),"")</f>
        <v>M/Z Can - 35.0 LTR</v>
      </c>
      <c r="D239" s="10" t="str">
        <f t="array" ref="D239">IFERROR(INDEX(T1_ProductType!$B:$B,MATCH(INDEX(T2_GroupSKU!$C:$C,MATCH(B239,T2_GroupSKU!$A:$A,0)),T1_ProductType!$A:$A,0)),"")</f>
        <v>M/Z Can</v>
      </c>
      <c r="E239" s="10" t="str">
        <f t="array" ref="E239">IFERROR(INDEX(T1_ProductType!$C:$C,MATCH(INDEX(T2_GroupSKU!$C:$C,MATCH(B239,T2_GroupSKU!$A:$A,0)),T1_ProductType!$A:$A,0)),"")</f>
        <v>Can</v>
      </c>
      <c r="F239" s="10" t="str">
        <f t="array" ref="F239">IFERROR(INDEX(T1_ProductType!$D:$D,MATCH(INDEX(T2_GroupSKU!$C:$C,MATCH(B239,T2_GroupSKU!$A:$A,0)),T1_ProductType!$A:$A,0)),"")</f>
        <v>Plastic Barrels</v>
      </c>
      <c r="G239" s="10" t="str">
        <f t="array" ref="G239">IFERROR(IF(INDEX(T1_ProductType!$E:$E,MATCH(INDEX(T2_GroupSKU!$C:$C,MATCH(B239,T2_GroupSKU!$A:$A,0)),T1_ProductType!$A:$A,0))="","-",INDEX(T1_ProductType!$E:$E,MATCH(INDEX(T2_GroupSKU!$C:$C,MATCH(B239,T2_GroupSKU!$A:$A,0)),T1_ProductType!$A:$A,0))),"-")</f>
        <v>Mouth-Zip Can</v>
      </c>
      <c r="H239" s="10">
        <f t="array" ref="H239">IFERROR(IF(INDEX(T2_GroupSKU!$D:$D,MATCH(B239,T2_GroupSKU!$A:$A,0))="","-",INDEX(T2_GroupSKU!$D:$D,MATCH(B239,T2_GroupSKU!$A:$A,0))),"-")</f>
        <v>35</v>
      </c>
      <c r="I239" s="10" t="str">
        <f t="array" ref="I239">IFERROR(IF(INDEX(T2_GroupSKU!$E:$E,MATCH(B239,T2_GroupSKU!$A:$A,0))="","-",INDEX(T2_GroupSKU!$E:$E,MATCH(B239,T2_GroupSKU!$A:$A,0))),"-")</f>
        <v>LTR</v>
      </c>
      <c r="J239" s="10" t="str">
        <f>T3_SKU!C239</f>
        <v>Blue / 2.5 KG</v>
      </c>
      <c r="K239" s="10" t="str">
        <f>T3_SKU!D239</f>
        <v>35 LTR BLUE M/Z 2.5 KG</v>
      </c>
      <c r="L239" s="10" t="str">
        <f>T3_SKU!E239</f>
        <v>NOS</v>
      </c>
      <c r="M239" s="10" t="str">
        <f>T3_SKU!F239</f>
        <v>39233090</v>
      </c>
    </row>
    <row r="240" ht="15.0" customHeight="1">
      <c r="A240" s="10" t="str">
        <f>T3_SKU!A240</f>
        <v>MZC-35-GRN-18KG</v>
      </c>
      <c r="B240" s="10" t="str">
        <f>T3_SKU!B240</f>
        <v>MZC-35</v>
      </c>
      <c r="C240" s="10" t="str">
        <f t="array" ref="C240">IFERROR(INDEX(T2_GroupSKU!$B:$B,MATCH(B240,T2_GroupSKU!$A:$A,0)),"")</f>
        <v>M/Z Can - 35.0 LTR</v>
      </c>
      <c r="D240" s="10" t="str">
        <f t="array" ref="D240">IFERROR(INDEX(T1_ProductType!$B:$B,MATCH(INDEX(T2_GroupSKU!$C:$C,MATCH(B240,T2_GroupSKU!$A:$A,0)),T1_ProductType!$A:$A,0)),"")</f>
        <v>M/Z Can</v>
      </c>
      <c r="E240" s="10" t="str">
        <f t="array" ref="E240">IFERROR(INDEX(T1_ProductType!$C:$C,MATCH(INDEX(T2_GroupSKU!$C:$C,MATCH(B240,T2_GroupSKU!$A:$A,0)),T1_ProductType!$A:$A,0)),"")</f>
        <v>Can</v>
      </c>
      <c r="F240" s="10" t="str">
        <f t="array" ref="F240">IFERROR(INDEX(T1_ProductType!$D:$D,MATCH(INDEX(T2_GroupSKU!$C:$C,MATCH(B240,T2_GroupSKU!$A:$A,0)),T1_ProductType!$A:$A,0)),"")</f>
        <v>Plastic Barrels</v>
      </c>
      <c r="G240" s="10" t="str">
        <f t="array" ref="G240">IFERROR(IF(INDEX(T1_ProductType!$E:$E,MATCH(INDEX(T2_GroupSKU!$C:$C,MATCH(B240,T2_GroupSKU!$A:$A,0)),T1_ProductType!$A:$A,0))="","-",INDEX(T1_ProductType!$E:$E,MATCH(INDEX(T2_GroupSKU!$C:$C,MATCH(B240,T2_GroupSKU!$A:$A,0)),T1_ProductType!$A:$A,0))),"-")</f>
        <v>Mouth-Zip Can</v>
      </c>
      <c r="H240" s="10">
        <f t="array" ref="H240">IFERROR(IF(INDEX(T2_GroupSKU!$D:$D,MATCH(B240,T2_GroupSKU!$A:$A,0))="","-",INDEX(T2_GroupSKU!$D:$D,MATCH(B240,T2_GroupSKU!$A:$A,0))),"-")</f>
        <v>35</v>
      </c>
      <c r="I240" s="10" t="str">
        <f t="array" ref="I240">IFERROR(IF(INDEX(T2_GroupSKU!$E:$E,MATCH(B240,T2_GroupSKU!$A:$A,0))="","-",INDEX(T2_GroupSKU!$E:$E,MATCH(B240,T2_GroupSKU!$A:$A,0))),"-")</f>
        <v>LTR</v>
      </c>
      <c r="J240" s="10" t="str">
        <f>T3_SKU!C240</f>
        <v>Green / 1.8 KG</v>
      </c>
      <c r="K240" s="10" t="str">
        <f>T3_SKU!D240</f>
        <v>35 LTR GREEN M/Z 1.8 KG</v>
      </c>
      <c r="L240" s="10" t="str">
        <f>T3_SKU!E240</f>
        <v>NOS</v>
      </c>
      <c r="M240" s="10" t="str">
        <f>T3_SKU!F240</f>
        <v>39233090</v>
      </c>
    </row>
    <row r="241" ht="15.0" customHeight="1">
      <c r="A241" s="10" t="str">
        <f>T3_SKU!A241</f>
        <v>MZC-35-WHT-18KG</v>
      </c>
      <c r="B241" s="10" t="str">
        <f>T3_SKU!B241</f>
        <v>MZC-35</v>
      </c>
      <c r="C241" s="10" t="str">
        <f t="array" ref="C241">IFERROR(INDEX(T2_GroupSKU!$B:$B,MATCH(B241,T2_GroupSKU!$A:$A,0)),"")</f>
        <v>M/Z Can - 35.0 LTR</v>
      </c>
      <c r="D241" s="10" t="str">
        <f t="array" ref="D241">IFERROR(INDEX(T1_ProductType!$B:$B,MATCH(INDEX(T2_GroupSKU!$C:$C,MATCH(B241,T2_GroupSKU!$A:$A,0)),T1_ProductType!$A:$A,0)),"")</f>
        <v>M/Z Can</v>
      </c>
      <c r="E241" s="10" t="str">
        <f t="array" ref="E241">IFERROR(INDEX(T1_ProductType!$C:$C,MATCH(INDEX(T2_GroupSKU!$C:$C,MATCH(B241,T2_GroupSKU!$A:$A,0)),T1_ProductType!$A:$A,0)),"")</f>
        <v>Can</v>
      </c>
      <c r="F241" s="10" t="str">
        <f t="array" ref="F241">IFERROR(INDEX(T1_ProductType!$D:$D,MATCH(INDEX(T2_GroupSKU!$C:$C,MATCH(B241,T2_GroupSKU!$A:$A,0)),T1_ProductType!$A:$A,0)),"")</f>
        <v>Plastic Barrels</v>
      </c>
      <c r="G241" s="10" t="str">
        <f t="array" ref="G241">IFERROR(IF(INDEX(T1_ProductType!$E:$E,MATCH(INDEX(T2_GroupSKU!$C:$C,MATCH(B241,T2_GroupSKU!$A:$A,0)),T1_ProductType!$A:$A,0))="","-",INDEX(T1_ProductType!$E:$E,MATCH(INDEX(T2_GroupSKU!$C:$C,MATCH(B241,T2_GroupSKU!$A:$A,0)),T1_ProductType!$A:$A,0))),"-")</f>
        <v>Mouth-Zip Can</v>
      </c>
      <c r="H241" s="10">
        <f t="array" ref="H241">IFERROR(IF(INDEX(T2_GroupSKU!$D:$D,MATCH(B241,T2_GroupSKU!$A:$A,0))="","-",INDEX(T2_GroupSKU!$D:$D,MATCH(B241,T2_GroupSKU!$A:$A,0))),"-")</f>
        <v>35</v>
      </c>
      <c r="I241" s="10" t="str">
        <f t="array" ref="I241">IFERROR(IF(INDEX(T2_GroupSKU!$E:$E,MATCH(B241,T2_GroupSKU!$A:$A,0))="","-",INDEX(T2_GroupSKU!$E:$E,MATCH(B241,T2_GroupSKU!$A:$A,0))),"-")</f>
        <v>LTR</v>
      </c>
      <c r="J241" s="10" t="str">
        <f>T3_SKU!C241</f>
        <v>White / 1.8 KG</v>
      </c>
      <c r="K241" s="10" t="str">
        <f>T3_SKU!D241</f>
        <v>35 LTR WHITE M/Z 1.8 KG</v>
      </c>
      <c r="L241" s="10" t="str">
        <f>T3_SKU!E241</f>
        <v>NOS</v>
      </c>
      <c r="M241" s="10" t="str">
        <f>T3_SKU!F241</f>
        <v>39233090</v>
      </c>
    </row>
    <row r="242" ht="15.0" customHeight="1">
      <c r="A242" s="10" t="str">
        <f>T3_SKU!A242</f>
        <v>MZC-35-YEL-16KG</v>
      </c>
      <c r="B242" s="10" t="str">
        <f>T3_SKU!B242</f>
        <v>MZC-35</v>
      </c>
      <c r="C242" s="10" t="str">
        <f t="array" ref="C242">IFERROR(INDEX(T2_GroupSKU!$B:$B,MATCH(B242,T2_GroupSKU!$A:$A,0)),"")</f>
        <v>M/Z Can - 35.0 LTR</v>
      </c>
      <c r="D242" s="10" t="str">
        <f t="array" ref="D242">IFERROR(INDEX(T1_ProductType!$B:$B,MATCH(INDEX(T2_GroupSKU!$C:$C,MATCH(B242,T2_GroupSKU!$A:$A,0)),T1_ProductType!$A:$A,0)),"")</f>
        <v>M/Z Can</v>
      </c>
      <c r="E242" s="10" t="str">
        <f t="array" ref="E242">IFERROR(INDEX(T1_ProductType!$C:$C,MATCH(INDEX(T2_GroupSKU!$C:$C,MATCH(B242,T2_GroupSKU!$A:$A,0)),T1_ProductType!$A:$A,0)),"")</f>
        <v>Can</v>
      </c>
      <c r="F242" s="10" t="str">
        <f t="array" ref="F242">IFERROR(INDEX(T1_ProductType!$D:$D,MATCH(INDEX(T2_GroupSKU!$C:$C,MATCH(B242,T2_GroupSKU!$A:$A,0)),T1_ProductType!$A:$A,0)),"")</f>
        <v>Plastic Barrels</v>
      </c>
      <c r="G242" s="10" t="str">
        <f t="array" ref="G242">IFERROR(IF(INDEX(T1_ProductType!$E:$E,MATCH(INDEX(T2_GroupSKU!$C:$C,MATCH(B242,T2_GroupSKU!$A:$A,0)),T1_ProductType!$A:$A,0))="","-",INDEX(T1_ProductType!$E:$E,MATCH(INDEX(T2_GroupSKU!$C:$C,MATCH(B242,T2_GroupSKU!$A:$A,0)),T1_ProductType!$A:$A,0))),"-")</f>
        <v>Mouth-Zip Can</v>
      </c>
      <c r="H242" s="10">
        <f t="array" ref="H242">IFERROR(IF(INDEX(T2_GroupSKU!$D:$D,MATCH(B242,T2_GroupSKU!$A:$A,0))="","-",INDEX(T2_GroupSKU!$D:$D,MATCH(B242,T2_GroupSKU!$A:$A,0))),"-")</f>
        <v>35</v>
      </c>
      <c r="I242" s="10" t="str">
        <f t="array" ref="I242">IFERROR(IF(INDEX(T2_GroupSKU!$E:$E,MATCH(B242,T2_GroupSKU!$A:$A,0))="","-",INDEX(T2_GroupSKU!$E:$E,MATCH(B242,T2_GroupSKU!$A:$A,0))),"-")</f>
        <v>LTR</v>
      </c>
      <c r="J242" s="10" t="str">
        <f>T3_SKU!C242</f>
        <v>Yellow / 1.6 KG</v>
      </c>
      <c r="K242" s="10" t="str">
        <f>T3_SKU!D242</f>
        <v>35 LTR YELLOW M/Z 1.6 KG</v>
      </c>
      <c r="L242" s="10" t="str">
        <f>T3_SKU!E242</f>
        <v>NOS</v>
      </c>
      <c r="M242" s="10" t="str">
        <f>T3_SKU!F242</f>
        <v>39233090</v>
      </c>
    </row>
    <row r="243" ht="15.0" customHeight="1">
      <c r="A243" s="10" t="str">
        <f>T3_SKU!A243</f>
        <v>MZC-40-BLU-1765KG</v>
      </c>
      <c r="B243" s="10" t="str">
        <f>T3_SKU!B243</f>
        <v>MZC-40</v>
      </c>
      <c r="C243" s="10" t="str">
        <f t="array" ref="C243">IFERROR(INDEX(T2_GroupSKU!$B:$B,MATCH(B243,T2_GroupSKU!$A:$A,0)),"")</f>
        <v>M/Z Can - 40.0 LTR</v>
      </c>
      <c r="D243" s="10" t="str">
        <f t="array" ref="D243">IFERROR(INDEX(T1_ProductType!$B:$B,MATCH(INDEX(T2_GroupSKU!$C:$C,MATCH(B243,T2_GroupSKU!$A:$A,0)),T1_ProductType!$A:$A,0)),"")</f>
        <v>M/Z Can</v>
      </c>
      <c r="E243" s="10" t="str">
        <f t="array" ref="E243">IFERROR(INDEX(T1_ProductType!$C:$C,MATCH(INDEX(T2_GroupSKU!$C:$C,MATCH(B243,T2_GroupSKU!$A:$A,0)),T1_ProductType!$A:$A,0)),"")</f>
        <v>Can</v>
      </c>
      <c r="F243" s="10" t="str">
        <f t="array" ref="F243">IFERROR(INDEX(T1_ProductType!$D:$D,MATCH(INDEX(T2_GroupSKU!$C:$C,MATCH(B243,T2_GroupSKU!$A:$A,0)),T1_ProductType!$A:$A,0)),"")</f>
        <v>Plastic Barrels</v>
      </c>
      <c r="G243" s="10" t="str">
        <f t="array" ref="G243">IFERROR(IF(INDEX(T1_ProductType!$E:$E,MATCH(INDEX(T2_GroupSKU!$C:$C,MATCH(B243,T2_GroupSKU!$A:$A,0)),T1_ProductType!$A:$A,0))="","-",INDEX(T1_ProductType!$E:$E,MATCH(INDEX(T2_GroupSKU!$C:$C,MATCH(B243,T2_GroupSKU!$A:$A,0)),T1_ProductType!$A:$A,0))),"-")</f>
        <v>Mouth-Zip Can</v>
      </c>
      <c r="H243" s="10">
        <f t="array" ref="H243">IFERROR(IF(INDEX(T2_GroupSKU!$D:$D,MATCH(B243,T2_GroupSKU!$A:$A,0))="","-",INDEX(T2_GroupSKU!$D:$D,MATCH(B243,T2_GroupSKU!$A:$A,0))),"-")</f>
        <v>40</v>
      </c>
      <c r="I243" s="10" t="str">
        <f t="array" ref="I243">IFERROR(IF(INDEX(T2_GroupSKU!$E:$E,MATCH(B243,T2_GroupSKU!$A:$A,0))="","-",INDEX(T2_GroupSKU!$E:$E,MATCH(B243,T2_GroupSKU!$A:$A,0))),"-")</f>
        <v>LTR</v>
      </c>
      <c r="J243" s="10" t="str">
        <f>T3_SKU!C243</f>
        <v>Blue / 1.765 KG</v>
      </c>
      <c r="K243" s="10" t="str">
        <f>T3_SKU!D243</f>
        <v>40 LTR BLUE M/Z 1.765 KG</v>
      </c>
      <c r="L243" s="10" t="str">
        <f>T3_SKU!E243</f>
        <v>NOS</v>
      </c>
      <c r="M243" s="10" t="str">
        <f>T3_SKU!F243</f>
        <v>39233090</v>
      </c>
    </row>
    <row r="244" ht="15.0" customHeight="1">
      <c r="A244" s="10" t="str">
        <f>T3_SKU!A244</f>
        <v>MZC-40-BLU-18KG</v>
      </c>
      <c r="B244" s="10" t="str">
        <f>T3_SKU!B244</f>
        <v>MZC-40</v>
      </c>
      <c r="C244" s="10" t="str">
        <f t="array" ref="C244">IFERROR(INDEX(T2_GroupSKU!$B:$B,MATCH(B244,T2_GroupSKU!$A:$A,0)),"")</f>
        <v>M/Z Can - 40.0 LTR</v>
      </c>
      <c r="D244" s="10" t="str">
        <f t="array" ref="D244">IFERROR(INDEX(T1_ProductType!$B:$B,MATCH(INDEX(T2_GroupSKU!$C:$C,MATCH(B244,T2_GroupSKU!$A:$A,0)),T1_ProductType!$A:$A,0)),"")</f>
        <v>M/Z Can</v>
      </c>
      <c r="E244" s="10" t="str">
        <f t="array" ref="E244">IFERROR(INDEX(T1_ProductType!$C:$C,MATCH(INDEX(T2_GroupSKU!$C:$C,MATCH(B244,T2_GroupSKU!$A:$A,0)),T1_ProductType!$A:$A,0)),"")</f>
        <v>Can</v>
      </c>
      <c r="F244" s="10" t="str">
        <f t="array" ref="F244">IFERROR(INDEX(T1_ProductType!$D:$D,MATCH(INDEX(T2_GroupSKU!$C:$C,MATCH(B244,T2_GroupSKU!$A:$A,0)),T1_ProductType!$A:$A,0)),"")</f>
        <v>Plastic Barrels</v>
      </c>
      <c r="G244" s="10" t="str">
        <f t="array" ref="G244">IFERROR(IF(INDEX(T1_ProductType!$E:$E,MATCH(INDEX(T2_GroupSKU!$C:$C,MATCH(B244,T2_GroupSKU!$A:$A,0)),T1_ProductType!$A:$A,0))="","-",INDEX(T1_ProductType!$E:$E,MATCH(INDEX(T2_GroupSKU!$C:$C,MATCH(B244,T2_GroupSKU!$A:$A,0)),T1_ProductType!$A:$A,0))),"-")</f>
        <v>Mouth-Zip Can</v>
      </c>
      <c r="H244" s="10">
        <f t="array" ref="H244">IFERROR(IF(INDEX(T2_GroupSKU!$D:$D,MATCH(B244,T2_GroupSKU!$A:$A,0))="","-",INDEX(T2_GroupSKU!$D:$D,MATCH(B244,T2_GroupSKU!$A:$A,0))),"-")</f>
        <v>40</v>
      </c>
      <c r="I244" s="10" t="str">
        <f t="array" ref="I244">IFERROR(IF(INDEX(T2_GroupSKU!$E:$E,MATCH(B244,T2_GroupSKU!$A:$A,0))="","-",INDEX(T2_GroupSKU!$E:$E,MATCH(B244,T2_GroupSKU!$A:$A,0))),"-")</f>
        <v>LTR</v>
      </c>
      <c r="J244" s="10" t="str">
        <f>T3_SKU!C244</f>
        <v>Blue / 1.8 KG</v>
      </c>
      <c r="K244" s="10" t="str">
        <f>T3_SKU!D244</f>
        <v>40 LTR BLUE M/Z 1.8 KG</v>
      </c>
      <c r="L244" s="10" t="str">
        <f>T3_SKU!E244</f>
        <v>NOS</v>
      </c>
      <c r="M244" s="10" t="str">
        <f>T3_SKU!F244</f>
        <v>39233090</v>
      </c>
    </row>
    <row r="245" ht="15.0" customHeight="1">
      <c r="A245" s="10" t="str">
        <f>T3_SKU!A245</f>
        <v>MZC-40-BLU-1965KG</v>
      </c>
      <c r="B245" s="10" t="str">
        <f>T3_SKU!B245</f>
        <v>MZC-40</v>
      </c>
      <c r="C245" s="10" t="str">
        <f t="array" ref="C245">IFERROR(INDEX(T2_GroupSKU!$B:$B,MATCH(B245,T2_GroupSKU!$A:$A,0)),"")</f>
        <v>M/Z Can - 40.0 LTR</v>
      </c>
      <c r="D245" s="10" t="str">
        <f t="array" ref="D245">IFERROR(INDEX(T1_ProductType!$B:$B,MATCH(INDEX(T2_GroupSKU!$C:$C,MATCH(B245,T2_GroupSKU!$A:$A,0)),T1_ProductType!$A:$A,0)),"")</f>
        <v>M/Z Can</v>
      </c>
      <c r="E245" s="10" t="str">
        <f t="array" ref="E245">IFERROR(INDEX(T1_ProductType!$C:$C,MATCH(INDEX(T2_GroupSKU!$C:$C,MATCH(B245,T2_GroupSKU!$A:$A,0)),T1_ProductType!$A:$A,0)),"")</f>
        <v>Can</v>
      </c>
      <c r="F245" s="10" t="str">
        <f t="array" ref="F245">IFERROR(INDEX(T1_ProductType!$D:$D,MATCH(INDEX(T2_GroupSKU!$C:$C,MATCH(B245,T2_GroupSKU!$A:$A,0)),T1_ProductType!$A:$A,0)),"")</f>
        <v>Plastic Barrels</v>
      </c>
      <c r="G245" s="10" t="str">
        <f t="array" ref="G245">IFERROR(IF(INDEX(T1_ProductType!$E:$E,MATCH(INDEX(T2_GroupSKU!$C:$C,MATCH(B245,T2_GroupSKU!$A:$A,0)),T1_ProductType!$A:$A,0))="","-",INDEX(T1_ProductType!$E:$E,MATCH(INDEX(T2_GroupSKU!$C:$C,MATCH(B245,T2_GroupSKU!$A:$A,0)),T1_ProductType!$A:$A,0))),"-")</f>
        <v>Mouth-Zip Can</v>
      </c>
      <c r="H245" s="10">
        <f t="array" ref="H245">IFERROR(IF(INDEX(T2_GroupSKU!$D:$D,MATCH(B245,T2_GroupSKU!$A:$A,0))="","-",INDEX(T2_GroupSKU!$D:$D,MATCH(B245,T2_GroupSKU!$A:$A,0))),"-")</f>
        <v>40</v>
      </c>
      <c r="I245" s="10" t="str">
        <f t="array" ref="I245">IFERROR(IF(INDEX(T2_GroupSKU!$E:$E,MATCH(B245,T2_GroupSKU!$A:$A,0))="","-",INDEX(T2_GroupSKU!$E:$E,MATCH(B245,T2_GroupSKU!$A:$A,0))),"-")</f>
        <v>LTR</v>
      </c>
      <c r="J245" s="10" t="str">
        <f>T3_SKU!C245</f>
        <v>Blue / 1.965 KG</v>
      </c>
      <c r="K245" s="10" t="str">
        <f>T3_SKU!D245</f>
        <v>40 LTR BLUE M/Z 1.965 KG</v>
      </c>
      <c r="L245" s="10" t="str">
        <f>T3_SKU!E245</f>
        <v>NOS</v>
      </c>
      <c r="M245" s="10" t="str">
        <f>T3_SKU!F245</f>
        <v>39233090</v>
      </c>
    </row>
    <row r="246" ht="15.0" customHeight="1">
      <c r="A246" s="10" t="str">
        <f>T3_SKU!A246</f>
        <v>MZC-40-BLU-20KG</v>
      </c>
      <c r="B246" s="10" t="str">
        <f>T3_SKU!B246</f>
        <v>MZC-40</v>
      </c>
      <c r="C246" s="10" t="str">
        <f t="array" ref="C246">IFERROR(INDEX(T2_GroupSKU!$B:$B,MATCH(B246,T2_GroupSKU!$A:$A,0)),"")</f>
        <v>M/Z Can - 40.0 LTR</v>
      </c>
      <c r="D246" s="10" t="str">
        <f t="array" ref="D246">IFERROR(INDEX(T1_ProductType!$B:$B,MATCH(INDEX(T2_GroupSKU!$C:$C,MATCH(B246,T2_GroupSKU!$A:$A,0)),T1_ProductType!$A:$A,0)),"")</f>
        <v>M/Z Can</v>
      </c>
      <c r="E246" s="10" t="str">
        <f t="array" ref="E246">IFERROR(INDEX(T1_ProductType!$C:$C,MATCH(INDEX(T2_GroupSKU!$C:$C,MATCH(B246,T2_GroupSKU!$A:$A,0)),T1_ProductType!$A:$A,0)),"")</f>
        <v>Can</v>
      </c>
      <c r="F246" s="10" t="str">
        <f t="array" ref="F246">IFERROR(INDEX(T1_ProductType!$D:$D,MATCH(INDEX(T2_GroupSKU!$C:$C,MATCH(B246,T2_GroupSKU!$A:$A,0)),T1_ProductType!$A:$A,0)),"")</f>
        <v>Plastic Barrels</v>
      </c>
      <c r="G246" s="10" t="str">
        <f t="array" ref="G246">IFERROR(IF(INDEX(T1_ProductType!$E:$E,MATCH(INDEX(T2_GroupSKU!$C:$C,MATCH(B246,T2_GroupSKU!$A:$A,0)),T1_ProductType!$A:$A,0))="","-",INDEX(T1_ProductType!$E:$E,MATCH(INDEX(T2_GroupSKU!$C:$C,MATCH(B246,T2_GroupSKU!$A:$A,0)),T1_ProductType!$A:$A,0))),"-")</f>
        <v>Mouth-Zip Can</v>
      </c>
      <c r="H246" s="10">
        <f t="array" ref="H246">IFERROR(IF(INDEX(T2_GroupSKU!$D:$D,MATCH(B246,T2_GroupSKU!$A:$A,0))="","-",INDEX(T2_GroupSKU!$D:$D,MATCH(B246,T2_GroupSKU!$A:$A,0))),"-")</f>
        <v>40</v>
      </c>
      <c r="I246" s="10" t="str">
        <f t="array" ref="I246">IFERROR(IF(INDEX(T2_GroupSKU!$E:$E,MATCH(B246,T2_GroupSKU!$A:$A,0))="","-",INDEX(T2_GroupSKU!$E:$E,MATCH(B246,T2_GroupSKU!$A:$A,0))),"-")</f>
        <v>LTR</v>
      </c>
      <c r="J246" s="10" t="str">
        <f>T3_SKU!C246</f>
        <v>Blue / 2.0 KG</v>
      </c>
      <c r="K246" s="10" t="str">
        <f>T3_SKU!D246</f>
        <v>40 LTR BLUE M/Z 2.0 KG</v>
      </c>
      <c r="L246" s="10" t="str">
        <f>T3_SKU!E246</f>
        <v>NOS</v>
      </c>
      <c r="M246" s="10" t="str">
        <f>T3_SKU!F246</f>
        <v>39233090</v>
      </c>
    </row>
    <row r="247" ht="15.0" customHeight="1">
      <c r="A247" s="10" t="str">
        <f>T3_SKU!A247</f>
        <v>MZC-40-BLU-2165KG</v>
      </c>
      <c r="B247" s="10" t="str">
        <f>T3_SKU!B247</f>
        <v>MZC-40</v>
      </c>
      <c r="C247" s="10" t="str">
        <f t="array" ref="C247">IFERROR(INDEX(T2_GroupSKU!$B:$B,MATCH(B247,T2_GroupSKU!$A:$A,0)),"")</f>
        <v>M/Z Can - 40.0 LTR</v>
      </c>
      <c r="D247" s="10" t="str">
        <f t="array" ref="D247">IFERROR(INDEX(T1_ProductType!$B:$B,MATCH(INDEX(T2_GroupSKU!$C:$C,MATCH(B247,T2_GroupSKU!$A:$A,0)),T1_ProductType!$A:$A,0)),"")</f>
        <v>M/Z Can</v>
      </c>
      <c r="E247" s="10" t="str">
        <f t="array" ref="E247">IFERROR(INDEX(T1_ProductType!$C:$C,MATCH(INDEX(T2_GroupSKU!$C:$C,MATCH(B247,T2_GroupSKU!$A:$A,0)),T1_ProductType!$A:$A,0)),"")</f>
        <v>Can</v>
      </c>
      <c r="F247" s="10" t="str">
        <f t="array" ref="F247">IFERROR(INDEX(T1_ProductType!$D:$D,MATCH(INDEX(T2_GroupSKU!$C:$C,MATCH(B247,T2_GroupSKU!$A:$A,0)),T1_ProductType!$A:$A,0)),"")</f>
        <v>Plastic Barrels</v>
      </c>
      <c r="G247" s="10" t="str">
        <f t="array" ref="G247">IFERROR(IF(INDEX(T1_ProductType!$E:$E,MATCH(INDEX(T2_GroupSKU!$C:$C,MATCH(B247,T2_GroupSKU!$A:$A,0)),T1_ProductType!$A:$A,0))="","-",INDEX(T1_ProductType!$E:$E,MATCH(INDEX(T2_GroupSKU!$C:$C,MATCH(B247,T2_GroupSKU!$A:$A,0)),T1_ProductType!$A:$A,0))),"-")</f>
        <v>Mouth-Zip Can</v>
      </c>
      <c r="H247" s="10">
        <f t="array" ref="H247">IFERROR(IF(INDEX(T2_GroupSKU!$D:$D,MATCH(B247,T2_GroupSKU!$A:$A,0))="","-",INDEX(T2_GroupSKU!$D:$D,MATCH(B247,T2_GroupSKU!$A:$A,0))),"-")</f>
        <v>40</v>
      </c>
      <c r="I247" s="10" t="str">
        <f t="array" ref="I247">IFERROR(IF(INDEX(T2_GroupSKU!$E:$E,MATCH(B247,T2_GroupSKU!$A:$A,0))="","-",INDEX(T2_GroupSKU!$E:$E,MATCH(B247,T2_GroupSKU!$A:$A,0))),"-")</f>
        <v>LTR</v>
      </c>
      <c r="J247" s="10" t="str">
        <f>T3_SKU!C247</f>
        <v>Blue / 2.165 KG</v>
      </c>
      <c r="K247" s="10" t="str">
        <f>T3_SKU!D247</f>
        <v>40 LTR BLUE M/Z 2.165 KG</v>
      </c>
      <c r="L247" s="10" t="str">
        <f>T3_SKU!E247</f>
        <v>NOS</v>
      </c>
      <c r="M247" s="10" t="str">
        <f>T3_SKU!F247</f>
        <v>39233090</v>
      </c>
    </row>
    <row r="248" ht="15.0" customHeight="1">
      <c r="A248" s="10" t="str">
        <f>T3_SKU!A248</f>
        <v>MZC-40-BLU-225KG</v>
      </c>
      <c r="B248" s="10" t="str">
        <f>T3_SKU!B248</f>
        <v>MZC-40</v>
      </c>
      <c r="C248" s="10" t="str">
        <f t="array" ref="C248">IFERROR(INDEX(T2_GroupSKU!$B:$B,MATCH(B248,T2_GroupSKU!$A:$A,0)),"")</f>
        <v>M/Z Can - 40.0 LTR</v>
      </c>
      <c r="D248" s="10" t="str">
        <f t="array" ref="D248">IFERROR(INDEX(T1_ProductType!$B:$B,MATCH(INDEX(T2_GroupSKU!$C:$C,MATCH(B248,T2_GroupSKU!$A:$A,0)),T1_ProductType!$A:$A,0)),"")</f>
        <v>M/Z Can</v>
      </c>
      <c r="E248" s="10" t="str">
        <f t="array" ref="E248">IFERROR(INDEX(T1_ProductType!$C:$C,MATCH(INDEX(T2_GroupSKU!$C:$C,MATCH(B248,T2_GroupSKU!$A:$A,0)),T1_ProductType!$A:$A,0)),"")</f>
        <v>Can</v>
      </c>
      <c r="F248" s="10" t="str">
        <f t="array" ref="F248">IFERROR(INDEX(T1_ProductType!$D:$D,MATCH(INDEX(T2_GroupSKU!$C:$C,MATCH(B248,T2_GroupSKU!$A:$A,0)),T1_ProductType!$A:$A,0)),"")</f>
        <v>Plastic Barrels</v>
      </c>
      <c r="G248" s="10" t="str">
        <f t="array" ref="G248">IFERROR(IF(INDEX(T1_ProductType!$E:$E,MATCH(INDEX(T2_GroupSKU!$C:$C,MATCH(B248,T2_GroupSKU!$A:$A,0)),T1_ProductType!$A:$A,0))="","-",INDEX(T1_ProductType!$E:$E,MATCH(INDEX(T2_GroupSKU!$C:$C,MATCH(B248,T2_GroupSKU!$A:$A,0)),T1_ProductType!$A:$A,0))),"-")</f>
        <v>Mouth-Zip Can</v>
      </c>
      <c r="H248" s="10">
        <f t="array" ref="H248">IFERROR(IF(INDEX(T2_GroupSKU!$D:$D,MATCH(B248,T2_GroupSKU!$A:$A,0))="","-",INDEX(T2_GroupSKU!$D:$D,MATCH(B248,T2_GroupSKU!$A:$A,0))),"-")</f>
        <v>40</v>
      </c>
      <c r="I248" s="10" t="str">
        <f t="array" ref="I248">IFERROR(IF(INDEX(T2_GroupSKU!$E:$E,MATCH(B248,T2_GroupSKU!$A:$A,0))="","-",INDEX(T2_GroupSKU!$E:$E,MATCH(B248,T2_GroupSKU!$A:$A,0))),"-")</f>
        <v>LTR</v>
      </c>
      <c r="J248" s="10" t="str">
        <f>T3_SKU!C248</f>
        <v>Blue / 2.25 KG</v>
      </c>
      <c r="K248" s="10" t="str">
        <f>T3_SKU!D248</f>
        <v>40 LTR BLUE M/Z 2.25 KG</v>
      </c>
      <c r="L248" s="10" t="str">
        <f>T3_SKU!E248</f>
        <v>NOS</v>
      </c>
      <c r="M248" s="10" t="str">
        <f>T3_SKU!F248</f>
        <v>39233090</v>
      </c>
    </row>
    <row r="249" ht="15.0" customHeight="1">
      <c r="A249" s="10" t="str">
        <f>T3_SKU!A249</f>
        <v>MZC-40-BLU-22KG</v>
      </c>
      <c r="B249" s="10" t="str">
        <f>T3_SKU!B249</f>
        <v>MZC-40</v>
      </c>
      <c r="C249" s="10" t="str">
        <f t="array" ref="C249">IFERROR(INDEX(T2_GroupSKU!$B:$B,MATCH(B249,T2_GroupSKU!$A:$A,0)),"")</f>
        <v>M/Z Can - 40.0 LTR</v>
      </c>
      <c r="D249" s="10" t="str">
        <f t="array" ref="D249">IFERROR(INDEX(T1_ProductType!$B:$B,MATCH(INDEX(T2_GroupSKU!$C:$C,MATCH(B249,T2_GroupSKU!$A:$A,0)),T1_ProductType!$A:$A,0)),"")</f>
        <v>M/Z Can</v>
      </c>
      <c r="E249" s="10" t="str">
        <f t="array" ref="E249">IFERROR(INDEX(T1_ProductType!$C:$C,MATCH(INDEX(T2_GroupSKU!$C:$C,MATCH(B249,T2_GroupSKU!$A:$A,0)),T1_ProductType!$A:$A,0)),"")</f>
        <v>Can</v>
      </c>
      <c r="F249" s="10" t="str">
        <f t="array" ref="F249">IFERROR(INDEX(T1_ProductType!$D:$D,MATCH(INDEX(T2_GroupSKU!$C:$C,MATCH(B249,T2_GroupSKU!$A:$A,0)),T1_ProductType!$A:$A,0)),"")</f>
        <v>Plastic Barrels</v>
      </c>
      <c r="G249" s="10" t="str">
        <f t="array" ref="G249">IFERROR(IF(INDEX(T1_ProductType!$E:$E,MATCH(INDEX(T2_GroupSKU!$C:$C,MATCH(B249,T2_GroupSKU!$A:$A,0)),T1_ProductType!$A:$A,0))="","-",INDEX(T1_ProductType!$E:$E,MATCH(INDEX(T2_GroupSKU!$C:$C,MATCH(B249,T2_GroupSKU!$A:$A,0)),T1_ProductType!$A:$A,0))),"-")</f>
        <v>Mouth-Zip Can</v>
      </c>
      <c r="H249" s="10">
        <f t="array" ref="H249">IFERROR(IF(INDEX(T2_GroupSKU!$D:$D,MATCH(B249,T2_GroupSKU!$A:$A,0))="","-",INDEX(T2_GroupSKU!$D:$D,MATCH(B249,T2_GroupSKU!$A:$A,0))),"-")</f>
        <v>40</v>
      </c>
      <c r="I249" s="10" t="str">
        <f t="array" ref="I249">IFERROR(IF(INDEX(T2_GroupSKU!$E:$E,MATCH(B249,T2_GroupSKU!$A:$A,0))="","-",INDEX(T2_GroupSKU!$E:$E,MATCH(B249,T2_GroupSKU!$A:$A,0))),"-")</f>
        <v>LTR</v>
      </c>
      <c r="J249" s="10" t="str">
        <f>T3_SKU!C249</f>
        <v>Blue / 2.2 KG</v>
      </c>
      <c r="K249" s="10" t="str">
        <f>T3_SKU!D249</f>
        <v>40 LTR BLUE M/Z 2.2 KG</v>
      </c>
      <c r="L249" s="10" t="str">
        <f>T3_SKU!E249</f>
        <v>NOS</v>
      </c>
      <c r="M249" s="10" t="str">
        <f>T3_SKU!F249</f>
        <v>39233090</v>
      </c>
    </row>
    <row r="250" ht="15.0" customHeight="1">
      <c r="A250" s="10" t="str">
        <f>T3_SKU!A250</f>
        <v>MZC-40-GRN-1765KG</v>
      </c>
      <c r="B250" s="10" t="str">
        <f>T3_SKU!B250</f>
        <v>MZC-40</v>
      </c>
      <c r="C250" s="10" t="str">
        <f t="array" ref="C250">IFERROR(INDEX(T2_GroupSKU!$B:$B,MATCH(B250,T2_GroupSKU!$A:$A,0)),"")</f>
        <v>M/Z Can - 40.0 LTR</v>
      </c>
      <c r="D250" s="10" t="str">
        <f t="array" ref="D250">IFERROR(INDEX(T1_ProductType!$B:$B,MATCH(INDEX(T2_GroupSKU!$C:$C,MATCH(B250,T2_GroupSKU!$A:$A,0)),T1_ProductType!$A:$A,0)),"")</f>
        <v>M/Z Can</v>
      </c>
      <c r="E250" s="10" t="str">
        <f t="array" ref="E250">IFERROR(INDEX(T1_ProductType!$C:$C,MATCH(INDEX(T2_GroupSKU!$C:$C,MATCH(B250,T2_GroupSKU!$A:$A,0)),T1_ProductType!$A:$A,0)),"")</f>
        <v>Can</v>
      </c>
      <c r="F250" s="10" t="str">
        <f t="array" ref="F250">IFERROR(INDEX(T1_ProductType!$D:$D,MATCH(INDEX(T2_GroupSKU!$C:$C,MATCH(B250,T2_GroupSKU!$A:$A,0)),T1_ProductType!$A:$A,0)),"")</f>
        <v>Plastic Barrels</v>
      </c>
      <c r="G250" s="10" t="str">
        <f t="array" ref="G250">IFERROR(IF(INDEX(T1_ProductType!$E:$E,MATCH(INDEX(T2_GroupSKU!$C:$C,MATCH(B250,T2_GroupSKU!$A:$A,0)),T1_ProductType!$A:$A,0))="","-",INDEX(T1_ProductType!$E:$E,MATCH(INDEX(T2_GroupSKU!$C:$C,MATCH(B250,T2_GroupSKU!$A:$A,0)),T1_ProductType!$A:$A,0))),"-")</f>
        <v>Mouth-Zip Can</v>
      </c>
      <c r="H250" s="10">
        <f t="array" ref="H250">IFERROR(IF(INDEX(T2_GroupSKU!$D:$D,MATCH(B250,T2_GroupSKU!$A:$A,0))="","-",INDEX(T2_GroupSKU!$D:$D,MATCH(B250,T2_GroupSKU!$A:$A,0))),"-")</f>
        <v>40</v>
      </c>
      <c r="I250" s="10" t="str">
        <f t="array" ref="I250">IFERROR(IF(INDEX(T2_GroupSKU!$E:$E,MATCH(B250,T2_GroupSKU!$A:$A,0))="","-",INDEX(T2_GroupSKU!$E:$E,MATCH(B250,T2_GroupSKU!$A:$A,0))),"-")</f>
        <v>LTR</v>
      </c>
      <c r="J250" s="10" t="str">
        <f>T3_SKU!C250</f>
        <v>Green / 1.765 KG</v>
      </c>
      <c r="K250" s="10" t="str">
        <f>T3_SKU!D250</f>
        <v>40 LTR GREEN M/Z 1.765 KG</v>
      </c>
      <c r="L250" s="10" t="str">
        <f>T3_SKU!E250</f>
        <v>NOS</v>
      </c>
      <c r="M250" s="10" t="str">
        <f>T3_SKU!F250</f>
        <v>39233090</v>
      </c>
    </row>
    <row r="251" ht="15.0" customHeight="1">
      <c r="A251" s="10" t="str">
        <f>T3_SKU!A251</f>
        <v>MZC-40-GRN-18KG</v>
      </c>
      <c r="B251" s="10" t="str">
        <f>T3_SKU!B251</f>
        <v>MZC-40</v>
      </c>
      <c r="C251" s="10" t="str">
        <f t="array" ref="C251">IFERROR(INDEX(T2_GroupSKU!$B:$B,MATCH(B251,T2_GroupSKU!$A:$A,0)),"")</f>
        <v>M/Z Can - 40.0 LTR</v>
      </c>
      <c r="D251" s="10" t="str">
        <f t="array" ref="D251">IFERROR(INDEX(T1_ProductType!$B:$B,MATCH(INDEX(T2_GroupSKU!$C:$C,MATCH(B251,T2_GroupSKU!$A:$A,0)),T1_ProductType!$A:$A,0)),"")</f>
        <v>M/Z Can</v>
      </c>
      <c r="E251" s="10" t="str">
        <f t="array" ref="E251">IFERROR(INDEX(T1_ProductType!$C:$C,MATCH(INDEX(T2_GroupSKU!$C:$C,MATCH(B251,T2_GroupSKU!$A:$A,0)),T1_ProductType!$A:$A,0)),"")</f>
        <v>Can</v>
      </c>
      <c r="F251" s="10" t="str">
        <f t="array" ref="F251">IFERROR(INDEX(T1_ProductType!$D:$D,MATCH(INDEX(T2_GroupSKU!$C:$C,MATCH(B251,T2_GroupSKU!$A:$A,0)),T1_ProductType!$A:$A,0)),"")</f>
        <v>Plastic Barrels</v>
      </c>
      <c r="G251" s="10" t="str">
        <f t="array" ref="G251">IFERROR(IF(INDEX(T1_ProductType!$E:$E,MATCH(INDEX(T2_GroupSKU!$C:$C,MATCH(B251,T2_GroupSKU!$A:$A,0)),T1_ProductType!$A:$A,0))="","-",INDEX(T1_ProductType!$E:$E,MATCH(INDEX(T2_GroupSKU!$C:$C,MATCH(B251,T2_GroupSKU!$A:$A,0)),T1_ProductType!$A:$A,0))),"-")</f>
        <v>Mouth-Zip Can</v>
      </c>
      <c r="H251" s="10">
        <f t="array" ref="H251">IFERROR(IF(INDEX(T2_GroupSKU!$D:$D,MATCH(B251,T2_GroupSKU!$A:$A,0))="","-",INDEX(T2_GroupSKU!$D:$D,MATCH(B251,T2_GroupSKU!$A:$A,0))),"-")</f>
        <v>40</v>
      </c>
      <c r="I251" s="10" t="str">
        <f t="array" ref="I251">IFERROR(IF(INDEX(T2_GroupSKU!$E:$E,MATCH(B251,T2_GroupSKU!$A:$A,0))="","-",INDEX(T2_GroupSKU!$E:$E,MATCH(B251,T2_GroupSKU!$A:$A,0))),"-")</f>
        <v>LTR</v>
      </c>
      <c r="J251" s="10" t="str">
        <f>T3_SKU!C251</f>
        <v>Green / 1.8 KG</v>
      </c>
      <c r="K251" s="10" t="str">
        <f>T3_SKU!D251</f>
        <v>40 LTR GREEN M/Z 1.8 KG</v>
      </c>
      <c r="L251" s="10" t="str">
        <f>T3_SKU!E251</f>
        <v>NOS</v>
      </c>
      <c r="M251" s="10" t="str">
        <f>T3_SKU!F251</f>
        <v>39233090</v>
      </c>
    </row>
    <row r="252" ht="15.0" customHeight="1">
      <c r="A252" s="10" t="str">
        <f>T3_SKU!A252</f>
        <v>MZCAP-BLK-1</v>
      </c>
      <c r="B252" s="10" t="str">
        <f>T3_SKU!B252</f>
        <v>MZCAP</v>
      </c>
      <c r="C252" s="10" t="str">
        <f t="array" ref="C252">IFERROR(INDEX(T2_GroupSKU!$B:$B,MATCH(B252,T2_GroupSKU!$A:$A,0)),"")</f>
        <v>M/Z Cap</v>
      </c>
      <c r="D252" s="10" t="str">
        <f t="array" ref="D252">IFERROR(INDEX(T1_ProductType!$B:$B,MATCH(INDEX(T2_GroupSKU!$C:$C,MATCH(B252,T2_GroupSKU!$A:$A,0)),T1_ProductType!$A:$A,0)),"")</f>
        <v>M/Z Cap</v>
      </c>
      <c r="E252" s="10" t="str">
        <f t="array" ref="E252">IFERROR(INDEX(T1_ProductType!$C:$C,MATCH(INDEX(T2_GroupSKU!$C:$C,MATCH(B252,T2_GroupSKU!$A:$A,0)),T1_ProductType!$A:$A,0)),"")</f>
        <v>Accessory</v>
      </c>
      <c r="F252" s="10" t="str">
        <f t="array" ref="F252">IFERROR(INDEX(T1_ProductType!$D:$D,MATCH(INDEX(T2_GroupSKU!$C:$C,MATCH(B252,T2_GroupSKU!$A:$A,0)),T1_ProductType!$A:$A,0)),"")</f>
        <v>Plastic Barrels</v>
      </c>
      <c r="G252" s="10" t="str">
        <f t="array" ref="G252">IFERROR(IF(INDEX(T1_ProductType!$E:$E,MATCH(INDEX(T2_GroupSKU!$C:$C,MATCH(B252,T2_GroupSKU!$A:$A,0)),T1_ProductType!$A:$A,0))="","-",INDEX(T1_ProductType!$E:$E,MATCH(INDEX(T2_GroupSKU!$C:$C,MATCH(B252,T2_GroupSKU!$A:$A,0)),T1_ProductType!$A:$A,0))),"-")</f>
        <v>-</v>
      </c>
      <c r="H252" s="10" t="str">
        <f t="array" ref="H252">IFERROR(IF(INDEX(T2_GroupSKU!$D:$D,MATCH(B252,T2_GroupSKU!$A:$A,0))="","-",INDEX(T2_GroupSKU!$D:$D,MATCH(B252,T2_GroupSKU!$A:$A,0))),"-")</f>
        <v>-</v>
      </c>
      <c r="I252" s="10" t="str">
        <f t="array" ref="I252">IFERROR(IF(INDEX(T2_GroupSKU!$E:$E,MATCH(B252,T2_GroupSKU!$A:$A,0))="","-",INDEX(T2_GroupSKU!$E:$E,MATCH(B252,T2_GroupSKU!$A:$A,0))),"-")</f>
        <v>-</v>
      </c>
      <c r="J252" s="10" t="str">
        <f>T3_SKU!C252</f>
        <v>Black</v>
      </c>
      <c r="K252" s="10" t="str">
        <f>T3_SKU!D252</f>
        <v>M/Z CAP BLACK</v>
      </c>
      <c r="L252" s="10" t="str">
        <f>T3_SKU!E252</f>
        <v>NOS</v>
      </c>
      <c r="M252" s="10" t="str">
        <f>T3_SKU!F252</f>
        <v>39235010</v>
      </c>
    </row>
    <row r="253" ht="15.0" customHeight="1">
      <c r="A253" s="10" t="str">
        <f>T3_SKU!A253</f>
        <v>MZCAP-BLK-2</v>
      </c>
      <c r="B253" s="10" t="str">
        <f>T3_SKU!B253</f>
        <v>MZCAP</v>
      </c>
      <c r="C253" s="10" t="str">
        <f t="array" ref="C253">IFERROR(INDEX(T2_GroupSKU!$B:$B,MATCH(B253,T2_GroupSKU!$A:$A,0)),"")</f>
        <v>M/Z Cap</v>
      </c>
      <c r="D253" s="10" t="str">
        <f t="array" ref="D253">IFERROR(INDEX(T1_ProductType!$B:$B,MATCH(INDEX(T2_GroupSKU!$C:$C,MATCH(B253,T2_GroupSKU!$A:$A,0)),T1_ProductType!$A:$A,0)),"")</f>
        <v>M/Z Cap</v>
      </c>
      <c r="E253" s="10" t="str">
        <f t="array" ref="E253">IFERROR(INDEX(T1_ProductType!$C:$C,MATCH(INDEX(T2_GroupSKU!$C:$C,MATCH(B253,T2_GroupSKU!$A:$A,0)),T1_ProductType!$A:$A,0)),"")</f>
        <v>Accessory</v>
      </c>
      <c r="F253" s="10" t="str">
        <f t="array" ref="F253">IFERROR(INDEX(T1_ProductType!$D:$D,MATCH(INDEX(T2_GroupSKU!$C:$C,MATCH(B253,T2_GroupSKU!$A:$A,0)),T1_ProductType!$A:$A,0)),"")</f>
        <v>Plastic Barrels</v>
      </c>
      <c r="G253" s="10" t="str">
        <f t="array" ref="G253">IFERROR(IF(INDEX(T1_ProductType!$E:$E,MATCH(INDEX(T2_GroupSKU!$C:$C,MATCH(B253,T2_GroupSKU!$A:$A,0)),T1_ProductType!$A:$A,0))="","-",INDEX(T1_ProductType!$E:$E,MATCH(INDEX(T2_GroupSKU!$C:$C,MATCH(B253,T2_GroupSKU!$A:$A,0)),T1_ProductType!$A:$A,0))),"-")</f>
        <v>-</v>
      </c>
      <c r="H253" s="10" t="str">
        <f t="array" ref="H253">IFERROR(IF(INDEX(T2_GroupSKU!$D:$D,MATCH(B253,T2_GroupSKU!$A:$A,0))="","-",INDEX(T2_GroupSKU!$D:$D,MATCH(B253,T2_GroupSKU!$A:$A,0))),"-")</f>
        <v>-</v>
      </c>
      <c r="I253" s="10" t="str">
        <f t="array" ref="I253">IFERROR(IF(INDEX(T2_GroupSKU!$E:$E,MATCH(B253,T2_GroupSKU!$A:$A,0))="","-",INDEX(T2_GroupSKU!$E:$E,MATCH(B253,T2_GroupSKU!$A:$A,0))),"-")</f>
        <v>-</v>
      </c>
      <c r="J253" s="10" t="str">
        <f>T3_SKU!C253</f>
        <v>Black / Mane Logo</v>
      </c>
      <c r="K253" s="10" t="str">
        <f>T3_SKU!D253</f>
        <v>M/Z CAP BLACK (MANE LOGO)</v>
      </c>
      <c r="L253" s="10" t="str">
        <f>T3_SKU!E253</f>
        <v/>
      </c>
      <c r="M253" s="10" t="str">
        <f>T3_SKU!F253</f>
        <v/>
      </c>
    </row>
    <row r="254" ht="15.0" customHeight="1">
      <c r="A254" s="10" t="str">
        <f>T3_SKU!A254</f>
        <v>MZCAP-RED</v>
      </c>
      <c r="B254" s="10" t="str">
        <f>T3_SKU!B254</f>
        <v>MZCAP</v>
      </c>
      <c r="C254" s="10" t="str">
        <f t="array" ref="C254">IFERROR(INDEX(T2_GroupSKU!$B:$B,MATCH(B254,T2_GroupSKU!$A:$A,0)),"")</f>
        <v>M/Z Cap</v>
      </c>
      <c r="D254" s="10" t="str">
        <f t="array" ref="D254">IFERROR(INDEX(T1_ProductType!$B:$B,MATCH(INDEX(T2_GroupSKU!$C:$C,MATCH(B254,T2_GroupSKU!$A:$A,0)),T1_ProductType!$A:$A,0)),"")</f>
        <v>M/Z Cap</v>
      </c>
      <c r="E254" s="10" t="str">
        <f t="array" ref="E254">IFERROR(INDEX(T1_ProductType!$C:$C,MATCH(INDEX(T2_GroupSKU!$C:$C,MATCH(B254,T2_GroupSKU!$A:$A,0)),T1_ProductType!$A:$A,0)),"")</f>
        <v>Accessory</v>
      </c>
      <c r="F254" s="10" t="str">
        <f t="array" ref="F254">IFERROR(INDEX(T1_ProductType!$D:$D,MATCH(INDEX(T2_GroupSKU!$C:$C,MATCH(B254,T2_GroupSKU!$A:$A,0)),T1_ProductType!$A:$A,0)),"")</f>
        <v>Plastic Barrels</v>
      </c>
      <c r="G254" s="10" t="str">
        <f t="array" ref="G254">IFERROR(IF(INDEX(T1_ProductType!$E:$E,MATCH(INDEX(T2_GroupSKU!$C:$C,MATCH(B254,T2_GroupSKU!$A:$A,0)),T1_ProductType!$A:$A,0))="","-",INDEX(T1_ProductType!$E:$E,MATCH(INDEX(T2_GroupSKU!$C:$C,MATCH(B254,T2_GroupSKU!$A:$A,0)),T1_ProductType!$A:$A,0))),"-")</f>
        <v>-</v>
      </c>
      <c r="H254" s="10" t="str">
        <f t="array" ref="H254">IFERROR(IF(INDEX(T2_GroupSKU!$D:$D,MATCH(B254,T2_GroupSKU!$A:$A,0))="","-",INDEX(T2_GroupSKU!$D:$D,MATCH(B254,T2_GroupSKU!$A:$A,0))),"-")</f>
        <v>-</v>
      </c>
      <c r="I254" s="10" t="str">
        <f t="array" ref="I254">IFERROR(IF(INDEX(T2_GroupSKU!$E:$E,MATCH(B254,T2_GroupSKU!$A:$A,0))="","-",INDEX(T2_GroupSKU!$E:$E,MATCH(B254,T2_GroupSKU!$A:$A,0))),"-")</f>
        <v>-</v>
      </c>
      <c r="J254" s="10" t="str">
        <f>T3_SKU!C254</f>
        <v>Red</v>
      </c>
      <c r="K254" s="10" t="str">
        <f>T3_SKU!D254</f>
        <v>M/Z CAP RED</v>
      </c>
      <c r="L254" s="10" t="str">
        <f>T3_SKU!E254</f>
        <v>NOS</v>
      </c>
      <c r="M254" s="10" t="str">
        <f>T3_SKU!F254</f>
        <v>39235010</v>
      </c>
    </row>
    <row r="255" ht="15.0" customHeight="1">
      <c r="A255" s="10" t="str">
        <f>T3_SKU!A255</f>
        <v>MZCAP-V47</v>
      </c>
      <c r="B255" s="10" t="str">
        <f>T3_SKU!B255</f>
        <v>MZCAP</v>
      </c>
      <c r="C255" s="10" t="str">
        <f t="array" ref="C255">IFERROR(INDEX(T2_GroupSKU!$B:$B,MATCH(B255,T2_GroupSKU!$A:$A,0)),"")</f>
        <v>M/Z Cap</v>
      </c>
      <c r="D255" s="10" t="str">
        <f t="array" ref="D255">IFERROR(INDEX(T1_ProductType!$B:$B,MATCH(INDEX(T2_GroupSKU!$C:$C,MATCH(B255,T2_GroupSKU!$A:$A,0)),T1_ProductType!$A:$A,0)),"")</f>
        <v>M/Z Cap</v>
      </c>
      <c r="E255" s="10" t="str">
        <f t="array" ref="E255">IFERROR(INDEX(T1_ProductType!$C:$C,MATCH(INDEX(T2_GroupSKU!$C:$C,MATCH(B255,T2_GroupSKU!$A:$A,0)),T1_ProductType!$A:$A,0)),"")</f>
        <v>Accessory</v>
      </c>
      <c r="F255" s="10" t="str">
        <f t="array" ref="F255">IFERROR(INDEX(T1_ProductType!$D:$D,MATCH(INDEX(T2_GroupSKU!$C:$C,MATCH(B255,T2_GroupSKU!$A:$A,0)),T1_ProductType!$A:$A,0)),"")</f>
        <v>Plastic Barrels</v>
      </c>
      <c r="G255" s="10" t="str">
        <f t="array" ref="G255">IFERROR(IF(INDEX(T1_ProductType!$E:$E,MATCH(INDEX(T2_GroupSKU!$C:$C,MATCH(B255,T2_GroupSKU!$A:$A,0)),T1_ProductType!$A:$A,0))="","-",INDEX(T1_ProductType!$E:$E,MATCH(INDEX(T2_GroupSKU!$C:$C,MATCH(B255,T2_GroupSKU!$A:$A,0)),T1_ProductType!$A:$A,0))),"-")</f>
        <v>-</v>
      </c>
      <c r="H255" s="10" t="str">
        <f t="array" ref="H255">IFERROR(IF(INDEX(T2_GroupSKU!$D:$D,MATCH(B255,T2_GroupSKU!$A:$A,0))="","-",INDEX(T2_GroupSKU!$D:$D,MATCH(B255,T2_GroupSKU!$A:$A,0))),"-")</f>
        <v>-</v>
      </c>
      <c r="I255" s="10" t="str">
        <f t="array" ref="I255">IFERROR(IF(INDEX(T2_GroupSKU!$E:$E,MATCH(B255,T2_GroupSKU!$A:$A,0))="","-",INDEX(T2_GroupSKU!$E:$E,MATCH(B255,T2_GroupSKU!$A:$A,0))),"-")</f>
        <v>-</v>
      </c>
      <c r="J255" s="10" t="str">
        <f>T3_SKU!C255</f>
        <v>M/Z CAP 70 MM</v>
      </c>
      <c r="K255" s="10" t="str">
        <f>T3_SKU!D255</f>
        <v>M/Z CAP 70 MM</v>
      </c>
      <c r="L255" s="10" t="str">
        <f>T3_SKU!E255</f>
        <v>NOS</v>
      </c>
      <c r="M255" s="10" t="str">
        <f>T3_SKU!F255</f>
        <v>39235010</v>
      </c>
    </row>
    <row r="256" ht="15.0" customHeight="1">
      <c r="A256" s="10" t="str">
        <f>T3_SKU!A256</f>
        <v>MZCAP-YEL</v>
      </c>
      <c r="B256" s="10" t="str">
        <f>T3_SKU!B256</f>
        <v>MZCAP</v>
      </c>
      <c r="C256" s="10" t="str">
        <f t="array" ref="C256">IFERROR(INDEX(T2_GroupSKU!$B:$B,MATCH(B256,T2_GroupSKU!$A:$A,0)),"")</f>
        <v>M/Z Cap</v>
      </c>
      <c r="D256" s="10" t="str">
        <f t="array" ref="D256">IFERROR(INDEX(T1_ProductType!$B:$B,MATCH(INDEX(T2_GroupSKU!$C:$C,MATCH(B256,T2_GroupSKU!$A:$A,0)),T1_ProductType!$A:$A,0)),"")</f>
        <v>M/Z Cap</v>
      </c>
      <c r="E256" s="10" t="str">
        <f t="array" ref="E256">IFERROR(INDEX(T1_ProductType!$C:$C,MATCH(INDEX(T2_GroupSKU!$C:$C,MATCH(B256,T2_GroupSKU!$A:$A,0)),T1_ProductType!$A:$A,0)),"")</f>
        <v>Accessory</v>
      </c>
      <c r="F256" s="10" t="str">
        <f t="array" ref="F256">IFERROR(INDEX(T1_ProductType!$D:$D,MATCH(INDEX(T2_GroupSKU!$C:$C,MATCH(B256,T2_GroupSKU!$A:$A,0)),T1_ProductType!$A:$A,0)),"")</f>
        <v>Plastic Barrels</v>
      </c>
      <c r="G256" s="10" t="str">
        <f t="array" ref="G256">IFERROR(IF(INDEX(T1_ProductType!$E:$E,MATCH(INDEX(T2_GroupSKU!$C:$C,MATCH(B256,T2_GroupSKU!$A:$A,0)),T1_ProductType!$A:$A,0))="","-",INDEX(T1_ProductType!$E:$E,MATCH(INDEX(T2_GroupSKU!$C:$C,MATCH(B256,T2_GroupSKU!$A:$A,0)),T1_ProductType!$A:$A,0))),"-")</f>
        <v>-</v>
      </c>
      <c r="H256" s="10" t="str">
        <f t="array" ref="H256">IFERROR(IF(INDEX(T2_GroupSKU!$D:$D,MATCH(B256,T2_GroupSKU!$A:$A,0))="","-",INDEX(T2_GroupSKU!$D:$D,MATCH(B256,T2_GroupSKU!$A:$A,0))),"-")</f>
        <v>-</v>
      </c>
      <c r="I256" s="10" t="str">
        <f t="array" ref="I256">IFERROR(IF(INDEX(T2_GroupSKU!$E:$E,MATCH(B256,T2_GroupSKU!$A:$A,0))="","-",INDEX(T2_GroupSKU!$E:$E,MATCH(B256,T2_GroupSKU!$A:$A,0))),"-")</f>
        <v>-</v>
      </c>
      <c r="J256" s="10" t="str">
        <f>T3_SKU!C256</f>
        <v>Yellow</v>
      </c>
      <c r="K256" s="10" t="str">
        <f>T3_SKU!D256</f>
        <v>M/Z CAP YELLOW</v>
      </c>
      <c r="L256" s="10" t="str">
        <f>T3_SKU!E256</f>
        <v>NOS</v>
      </c>
      <c r="M256" s="10" t="str">
        <f>T3_SKU!F256</f>
        <v>39235010</v>
      </c>
    </row>
    <row r="257" ht="15.0" customHeight="1">
      <c r="A257" s="10" t="str">
        <f>T3_SKU!A257</f>
        <v>NMD-200-BLU-82KG</v>
      </c>
      <c r="B257" s="10" t="str">
        <f>T3_SKU!B257</f>
        <v>NMD-200</v>
      </c>
      <c r="C257" s="10" t="str">
        <f t="array" ref="C257">IFERROR(INDEX(T2_GroupSKU!$B:$B,MATCH(B257,T2_GroupSKU!$A:$A,0)),"")</f>
        <v>Narrow Mouth Drum - 200.0 LTR</v>
      </c>
      <c r="D257" s="10" t="str">
        <f t="array" ref="D257">IFERROR(INDEX(T1_ProductType!$B:$B,MATCH(INDEX(T2_GroupSKU!$C:$C,MATCH(B257,T2_GroupSKU!$A:$A,0)),T1_ProductType!$A:$A,0)),"")</f>
        <v>Narrow Mouth Drum</v>
      </c>
      <c r="E257" s="10" t="str">
        <f t="array" ref="E257">IFERROR(INDEX(T1_ProductType!$C:$C,MATCH(INDEX(T2_GroupSKU!$C:$C,MATCH(B257,T2_GroupSKU!$A:$A,0)),T1_ProductType!$A:$A,0)),"")</f>
        <v>Drum</v>
      </c>
      <c r="F257" s="10" t="str">
        <f t="array" ref="F257">IFERROR(INDEX(T1_ProductType!$D:$D,MATCH(INDEX(T2_GroupSKU!$C:$C,MATCH(B257,T2_GroupSKU!$A:$A,0)),T1_ProductType!$A:$A,0)),"")</f>
        <v>Plastic Barrels</v>
      </c>
      <c r="G257" s="10" t="str">
        <f t="array" ref="G257">IFERROR(IF(INDEX(T1_ProductType!$E:$E,MATCH(INDEX(T2_GroupSKU!$C:$C,MATCH(B257,T2_GroupSKU!$A:$A,0)),T1_ProductType!$A:$A,0))="","-",INDEX(T1_ProductType!$E:$E,MATCH(INDEX(T2_GroupSKU!$C:$C,MATCH(B257,T2_GroupSKU!$A:$A,0)),T1_ProductType!$A:$A,0))),"-")</f>
        <v>Tight Head Drum</v>
      </c>
      <c r="H257" s="10">
        <f t="array" ref="H257">IFERROR(IF(INDEX(T2_GroupSKU!$D:$D,MATCH(B257,T2_GroupSKU!$A:$A,0))="","-",INDEX(T2_GroupSKU!$D:$D,MATCH(B257,T2_GroupSKU!$A:$A,0))),"-")</f>
        <v>200</v>
      </c>
      <c r="I257" s="10" t="str">
        <f t="array" ref="I257">IFERROR(IF(INDEX(T2_GroupSKU!$E:$E,MATCH(B257,T2_GroupSKU!$A:$A,0))="","-",INDEX(T2_GroupSKU!$E:$E,MATCH(B257,T2_GroupSKU!$A:$A,0))),"-")</f>
        <v>LTR</v>
      </c>
      <c r="J257" s="10" t="str">
        <f>T3_SKU!C257</f>
        <v>Blue / 8.2 KG</v>
      </c>
      <c r="K257" s="10" t="str">
        <f>T3_SKU!D257</f>
        <v>200  LTR BLUE N/M 8.2 KG</v>
      </c>
      <c r="L257" s="10" t="str">
        <f>T3_SKU!E257</f>
        <v>NOS</v>
      </c>
      <c r="M257" s="10" t="str">
        <f>T3_SKU!F257</f>
        <v>39233090</v>
      </c>
    </row>
    <row r="258" ht="15.0" customHeight="1">
      <c r="A258" s="10" t="str">
        <f>T3_SKU!A258</f>
        <v>NMD-210-78KG</v>
      </c>
      <c r="B258" s="10" t="str">
        <f>T3_SKU!B258</f>
        <v>NMD-210</v>
      </c>
      <c r="C258" s="10" t="str">
        <f t="array" ref="C258">IFERROR(INDEX(T2_GroupSKU!$B:$B,MATCH(B258,T2_GroupSKU!$A:$A,0)),"")</f>
        <v>Narrow Mouth Drum - 210.0 LTR</v>
      </c>
      <c r="D258" s="10" t="str">
        <f t="array" ref="D258">IFERROR(INDEX(T1_ProductType!$B:$B,MATCH(INDEX(T2_GroupSKU!$C:$C,MATCH(B258,T2_GroupSKU!$A:$A,0)),T1_ProductType!$A:$A,0)),"")</f>
        <v>Narrow Mouth Drum</v>
      </c>
      <c r="E258" s="10" t="str">
        <f t="array" ref="E258">IFERROR(INDEX(T1_ProductType!$C:$C,MATCH(INDEX(T2_GroupSKU!$C:$C,MATCH(B258,T2_GroupSKU!$A:$A,0)),T1_ProductType!$A:$A,0)),"")</f>
        <v>Drum</v>
      </c>
      <c r="F258" s="10" t="str">
        <f t="array" ref="F258">IFERROR(INDEX(T1_ProductType!$D:$D,MATCH(INDEX(T2_GroupSKU!$C:$C,MATCH(B258,T2_GroupSKU!$A:$A,0)),T1_ProductType!$A:$A,0)),"")</f>
        <v>Plastic Barrels</v>
      </c>
      <c r="G258" s="10" t="str">
        <f t="array" ref="G258">IFERROR(IF(INDEX(T1_ProductType!$E:$E,MATCH(INDEX(T2_GroupSKU!$C:$C,MATCH(B258,T2_GroupSKU!$A:$A,0)),T1_ProductType!$A:$A,0))="","-",INDEX(T1_ProductType!$E:$E,MATCH(INDEX(T2_GroupSKU!$C:$C,MATCH(B258,T2_GroupSKU!$A:$A,0)),T1_ProductType!$A:$A,0))),"-")</f>
        <v>Tight Head Drum</v>
      </c>
      <c r="H258" s="10">
        <f t="array" ref="H258">IFERROR(IF(INDEX(T2_GroupSKU!$D:$D,MATCH(B258,T2_GroupSKU!$A:$A,0))="","-",INDEX(T2_GroupSKU!$D:$D,MATCH(B258,T2_GroupSKU!$A:$A,0))),"-")</f>
        <v>210</v>
      </c>
      <c r="I258" s="10" t="str">
        <f t="array" ref="I258">IFERROR(IF(INDEX(T2_GroupSKU!$E:$E,MATCH(B258,T2_GroupSKU!$A:$A,0))="","-",INDEX(T2_GroupSKU!$E:$E,MATCH(B258,T2_GroupSKU!$A:$A,0))),"-")</f>
        <v>LTR</v>
      </c>
      <c r="J258" s="10" t="str">
        <f>T3_SKU!C258</f>
        <v>7.8 KG</v>
      </c>
      <c r="K258" s="10" t="str">
        <f>T3_SKU!D258</f>
        <v>210 LTR MAROON N/M 7.8 KG</v>
      </c>
      <c r="L258" s="10" t="str">
        <f>T3_SKU!E258</f>
        <v>NOS</v>
      </c>
      <c r="M258" s="10" t="str">
        <f>T3_SKU!F258</f>
        <v>39233090</v>
      </c>
    </row>
    <row r="259" ht="15.0" customHeight="1">
      <c r="A259" s="10" t="str">
        <f>T3_SKU!A259</f>
        <v>NMD-210-BLK-105KG</v>
      </c>
      <c r="B259" s="10" t="str">
        <f>T3_SKU!B259</f>
        <v>NMD-210</v>
      </c>
      <c r="C259" s="10" t="str">
        <f t="array" ref="C259">IFERROR(INDEX(T2_GroupSKU!$B:$B,MATCH(B259,T2_GroupSKU!$A:$A,0)),"")</f>
        <v>Narrow Mouth Drum - 210.0 LTR</v>
      </c>
      <c r="D259" s="10" t="str">
        <f t="array" ref="D259">IFERROR(INDEX(T1_ProductType!$B:$B,MATCH(INDEX(T2_GroupSKU!$C:$C,MATCH(B259,T2_GroupSKU!$A:$A,0)),T1_ProductType!$A:$A,0)),"")</f>
        <v>Narrow Mouth Drum</v>
      </c>
      <c r="E259" s="10" t="str">
        <f t="array" ref="E259">IFERROR(INDEX(T1_ProductType!$C:$C,MATCH(INDEX(T2_GroupSKU!$C:$C,MATCH(B259,T2_GroupSKU!$A:$A,0)),T1_ProductType!$A:$A,0)),"")</f>
        <v>Drum</v>
      </c>
      <c r="F259" s="10" t="str">
        <f t="array" ref="F259">IFERROR(INDEX(T1_ProductType!$D:$D,MATCH(INDEX(T2_GroupSKU!$C:$C,MATCH(B259,T2_GroupSKU!$A:$A,0)),T1_ProductType!$A:$A,0)),"")</f>
        <v>Plastic Barrels</v>
      </c>
      <c r="G259" s="10" t="str">
        <f t="array" ref="G259">IFERROR(IF(INDEX(T1_ProductType!$E:$E,MATCH(INDEX(T2_GroupSKU!$C:$C,MATCH(B259,T2_GroupSKU!$A:$A,0)),T1_ProductType!$A:$A,0))="","-",INDEX(T1_ProductType!$E:$E,MATCH(INDEX(T2_GroupSKU!$C:$C,MATCH(B259,T2_GroupSKU!$A:$A,0)),T1_ProductType!$A:$A,0))),"-")</f>
        <v>Tight Head Drum</v>
      </c>
      <c r="H259" s="10">
        <f t="array" ref="H259">IFERROR(IF(INDEX(T2_GroupSKU!$D:$D,MATCH(B259,T2_GroupSKU!$A:$A,0))="","-",INDEX(T2_GroupSKU!$D:$D,MATCH(B259,T2_GroupSKU!$A:$A,0))),"-")</f>
        <v>210</v>
      </c>
      <c r="I259" s="10" t="str">
        <f t="array" ref="I259">IFERROR(IF(INDEX(T2_GroupSKU!$E:$E,MATCH(B259,T2_GroupSKU!$A:$A,0))="","-",INDEX(T2_GroupSKU!$E:$E,MATCH(B259,T2_GroupSKU!$A:$A,0))),"-")</f>
        <v>LTR</v>
      </c>
      <c r="J259" s="10" t="str">
        <f>T3_SKU!C259</f>
        <v>Black / 10.5 KG</v>
      </c>
      <c r="K259" s="10" t="str">
        <f>T3_SKU!D259</f>
        <v>210 LTR BLACK N/M 10.5 KG</v>
      </c>
      <c r="L259" s="10" t="str">
        <f>T3_SKU!E259</f>
        <v>NOS</v>
      </c>
      <c r="M259" s="10" t="str">
        <f>T3_SKU!F259</f>
        <v>39233090</v>
      </c>
    </row>
    <row r="260" ht="15.0" customHeight="1">
      <c r="A260" s="10" t="str">
        <f>T3_SKU!A260</f>
        <v>NMD-210-BLK-106KG</v>
      </c>
      <c r="B260" s="10" t="str">
        <f>T3_SKU!B260</f>
        <v>NMD-210</v>
      </c>
      <c r="C260" s="10" t="str">
        <f t="array" ref="C260">IFERROR(INDEX(T2_GroupSKU!$B:$B,MATCH(B260,T2_GroupSKU!$A:$A,0)),"")</f>
        <v>Narrow Mouth Drum - 210.0 LTR</v>
      </c>
      <c r="D260" s="10" t="str">
        <f t="array" ref="D260">IFERROR(INDEX(T1_ProductType!$B:$B,MATCH(INDEX(T2_GroupSKU!$C:$C,MATCH(B260,T2_GroupSKU!$A:$A,0)),T1_ProductType!$A:$A,0)),"")</f>
        <v>Narrow Mouth Drum</v>
      </c>
      <c r="E260" s="10" t="str">
        <f t="array" ref="E260">IFERROR(INDEX(T1_ProductType!$C:$C,MATCH(INDEX(T2_GroupSKU!$C:$C,MATCH(B260,T2_GroupSKU!$A:$A,0)),T1_ProductType!$A:$A,0)),"")</f>
        <v>Drum</v>
      </c>
      <c r="F260" s="10" t="str">
        <f t="array" ref="F260">IFERROR(INDEX(T1_ProductType!$D:$D,MATCH(INDEX(T2_GroupSKU!$C:$C,MATCH(B260,T2_GroupSKU!$A:$A,0)),T1_ProductType!$A:$A,0)),"")</f>
        <v>Plastic Barrels</v>
      </c>
      <c r="G260" s="10" t="str">
        <f t="array" ref="G260">IFERROR(IF(INDEX(T1_ProductType!$E:$E,MATCH(INDEX(T2_GroupSKU!$C:$C,MATCH(B260,T2_GroupSKU!$A:$A,0)),T1_ProductType!$A:$A,0))="","-",INDEX(T1_ProductType!$E:$E,MATCH(INDEX(T2_GroupSKU!$C:$C,MATCH(B260,T2_GroupSKU!$A:$A,0)),T1_ProductType!$A:$A,0))),"-")</f>
        <v>Tight Head Drum</v>
      </c>
      <c r="H260" s="10">
        <f t="array" ref="H260">IFERROR(IF(INDEX(T2_GroupSKU!$D:$D,MATCH(B260,T2_GroupSKU!$A:$A,0))="","-",INDEX(T2_GroupSKU!$D:$D,MATCH(B260,T2_GroupSKU!$A:$A,0))),"-")</f>
        <v>210</v>
      </c>
      <c r="I260" s="10" t="str">
        <f t="array" ref="I260">IFERROR(IF(INDEX(T2_GroupSKU!$E:$E,MATCH(B260,T2_GroupSKU!$A:$A,0))="","-",INDEX(T2_GroupSKU!$E:$E,MATCH(B260,T2_GroupSKU!$A:$A,0))),"-")</f>
        <v>LTR</v>
      </c>
      <c r="J260" s="10" t="str">
        <f>T3_SKU!C260</f>
        <v>Black / 10.6 KG</v>
      </c>
      <c r="K260" s="10" t="str">
        <f>T3_SKU!D260</f>
        <v>210 LTR BLACK N/M 10.6 KG</v>
      </c>
      <c r="L260" s="10" t="str">
        <f>T3_SKU!E260</f>
        <v>NOS</v>
      </c>
      <c r="M260" s="10" t="str">
        <f>T3_SKU!F260</f>
        <v>39233090</v>
      </c>
    </row>
    <row r="261" ht="15.0" customHeight="1">
      <c r="A261" s="10" t="str">
        <f>T3_SKU!A261</f>
        <v>NMD-210-BLK-78KG</v>
      </c>
      <c r="B261" s="10" t="str">
        <f>T3_SKU!B261</f>
        <v>NMD-210</v>
      </c>
      <c r="C261" s="10" t="str">
        <f t="array" ref="C261">IFERROR(INDEX(T2_GroupSKU!$B:$B,MATCH(B261,T2_GroupSKU!$A:$A,0)),"")</f>
        <v>Narrow Mouth Drum - 210.0 LTR</v>
      </c>
      <c r="D261" s="10" t="str">
        <f t="array" ref="D261">IFERROR(INDEX(T1_ProductType!$B:$B,MATCH(INDEX(T2_GroupSKU!$C:$C,MATCH(B261,T2_GroupSKU!$A:$A,0)),T1_ProductType!$A:$A,0)),"")</f>
        <v>Narrow Mouth Drum</v>
      </c>
      <c r="E261" s="10" t="str">
        <f t="array" ref="E261">IFERROR(INDEX(T1_ProductType!$C:$C,MATCH(INDEX(T2_GroupSKU!$C:$C,MATCH(B261,T2_GroupSKU!$A:$A,0)),T1_ProductType!$A:$A,0)),"")</f>
        <v>Drum</v>
      </c>
      <c r="F261" s="10" t="str">
        <f t="array" ref="F261">IFERROR(INDEX(T1_ProductType!$D:$D,MATCH(INDEX(T2_GroupSKU!$C:$C,MATCH(B261,T2_GroupSKU!$A:$A,0)),T1_ProductType!$A:$A,0)),"")</f>
        <v>Plastic Barrels</v>
      </c>
      <c r="G261" s="10" t="str">
        <f t="array" ref="G261">IFERROR(IF(INDEX(T1_ProductType!$E:$E,MATCH(INDEX(T2_GroupSKU!$C:$C,MATCH(B261,T2_GroupSKU!$A:$A,0)),T1_ProductType!$A:$A,0))="","-",INDEX(T1_ProductType!$E:$E,MATCH(INDEX(T2_GroupSKU!$C:$C,MATCH(B261,T2_GroupSKU!$A:$A,0)),T1_ProductType!$A:$A,0))),"-")</f>
        <v>Tight Head Drum</v>
      </c>
      <c r="H261" s="10">
        <f t="array" ref="H261">IFERROR(IF(INDEX(T2_GroupSKU!$D:$D,MATCH(B261,T2_GroupSKU!$A:$A,0))="","-",INDEX(T2_GroupSKU!$D:$D,MATCH(B261,T2_GroupSKU!$A:$A,0))),"-")</f>
        <v>210</v>
      </c>
      <c r="I261" s="10" t="str">
        <f t="array" ref="I261">IFERROR(IF(INDEX(T2_GroupSKU!$E:$E,MATCH(B261,T2_GroupSKU!$A:$A,0))="","-",INDEX(T2_GroupSKU!$E:$E,MATCH(B261,T2_GroupSKU!$A:$A,0))),"-")</f>
        <v>LTR</v>
      </c>
      <c r="J261" s="10" t="str">
        <f>T3_SKU!C261</f>
        <v>Black / 7.8 KG</v>
      </c>
      <c r="K261" s="10" t="str">
        <f>T3_SKU!D261</f>
        <v>210 LTR BLACK N/M 7.8 KG</v>
      </c>
      <c r="L261" s="10" t="str">
        <f>T3_SKU!E261</f>
        <v>NOS</v>
      </c>
      <c r="M261" s="10" t="str">
        <f>T3_SKU!F261</f>
        <v>39233090</v>
      </c>
    </row>
    <row r="262" ht="15.0" customHeight="1">
      <c r="A262" s="10" t="str">
        <f>T3_SKU!A262</f>
        <v>NMD-210-BLK-85KG</v>
      </c>
      <c r="B262" s="10" t="str">
        <f>T3_SKU!B262</f>
        <v>NMD-210</v>
      </c>
      <c r="C262" s="10" t="str">
        <f t="array" ref="C262">IFERROR(INDEX(T2_GroupSKU!$B:$B,MATCH(B262,T2_GroupSKU!$A:$A,0)),"")</f>
        <v>Narrow Mouth Drum - 210.0 LTR</v>
      </c>
      <c r="D262" s="10" t="str">
        <f t="array" ref="D262">IFERROR(INDEX(T1_ProductType!$B:$B,MATCH(INDEX(T2_GroupSKU!$C:$C,MATCH(B262,T2_GroupSKU!$A:$A,0)),T1_ProductType!$A:$A,0)),"")</f>
        <v>Narrow Mouth Drum</v>
      </c>
      <c r="E262" s="10" t="str">
        <f t="array" ref="E262">IFERROR(INDEX(T1_ProductType!$C:$C,MATCH(INDEX(T2_GroupSKU!$C:$C,MATCH(B262,T2_GroupSKU!$A:$A,0)),T1_ProductType!$A:$A,0)),"")</f>
        <v>Drum</v>
      </c>
      <c r="F262" s="10" t="str">
        <f t="array" ref="F262">IFERROR(INDEX(T1_ProductType!$D:$D,MATCH(INDEX(T2_GroupSKU!$C:$C,MATCH(B262,T2_GroupSKU!$A:$A,0)),T1_ProductType!$A:$A,0)),"")</f>
        <v>Plastic Barrels</v>
      </c>
      <c r="G262" s="10" t="str">
        <f t="array" ref="G262">IFERROR(IF(INDEX(T1_ProductType!$E:$E,MATCH(INDEX(T2_GroupSKU!$C:$C,MATCH(B262,T2_GroupSKU!$A:$A,0)),T1_ProductType!$A:$A,0))="","-",INDEX(T1_ProductType!$E:$E,MATCH(INDEX(T2_GroupSKU!$C:$C,MATCH(B262,T2_GroupSKU!$A:$A,0)),T1_ProductType!$A:$A,0))),"-")</f>
        <v>Tight Head Drum</v>
      </c>
      <c r="H262" s="10">
        <f t="array" ref="H262">IFERROR(IF(INDEX(T2_GroupSKU!$D:$D,MATCH(B262,T2_GroupSKU!$A:$A,0))="","-",INDEX(T2_GroupSKU!$D:$D,MATCH(B262,T2_GroupSKU!$A:$A,0))),"-")</f>
        <v>210</v>
      </c>
      <c r="I262" s="10" t="str">
        <f t="array" ref="I262">IFERROR(IF(INDEX(T2_GroupSKU!$E:$E,MATCH(B262,T2_GroupSKU!$A:$A,0))="","-",INDEX(T2_GroupSKU!$E:$E,MATCH(B262,T2_GroupSKU!$A:$A,0))),"-")</f>
        <v>LTR</v>
      </c>
      <c r="J262" s="10" t="str">
        <f>T3_SKU!C262</f>
        <v>Black / 8.5 KG</v>
      </c>
      <c r="K262" s="10" t="str">
        <f>T3_SKU!D262</f>
        <v>210 LTR BLACK N/M 8.5 KG</v>
      </c>
      <c r="L262" s="10" t="str">
        <f>T3_SKU!E262</f>
        <v>NOS</v>
      </c>
      <c r="M262" s="10" t="str">
        <f>T3_SKU!F262</f>
        <v>39233090</v>
      </c>
    </row>
    <row r="263" ht="15.0" customHeight="1">
      <c r="A263" s="10" t="str">
        <f>T3_SKU!A263</f>
        <v>NMD-210-BLK-92KG</v>
      </c>
      <c r="B263" s="10" t="str">
        <f>T3_SKU!B263</f>
        <v>NMD-210</v>
      </c>
      <c r="C263" s="10" t="str">
        <f t="array" ref="C263">IFERROR(INDEX(T2_GroupSKU!$B:$B,MATCH(B263,T2_GroupSKU!$A:$A,0)),"")</f>
        <v>Narrow Mouth Drum - 210.0 LTR</v>
      </c>
      <c r="D263" s="10" t="str">
        <f t="array" ref="D263">IFERROR(INDEX(T1_ProductType!$B:$B,MATCH(INDEX(T2_GroupSKU!$C:$C,MATCH(B263,T2_GroupSKU!$A:$A,0)),T1_ProductType!$A:$A,0)),"")</f>
        <v>Narrow Mouth Drum</v>
      </c>
      <c r="E263" s="10" t="str">
        <f t="array" ref="E263">IFERROR(INDEX(T1_ProductType!$C:$C,MATCH(INDEX(T2_GroupSKU!$C:$C,MATCH(B263,T2_GroupSKU!$A:$A,0)),T1_ProductType!$A:$A,0)),"")</f>
        <v>Drum</v>
      </c>
      <c r="F263" s="10" t="str">
        <f t="array" ref="F263">IFERROR(INDEX(T1_ProductType!$D:$D,MATCH(INDEX(T2_GroupSKU!$C:$C,MATCH(B263,T2_GroupSKU!$A:$A,0)),T1_ProductType!$A:$A,0)),"")</f>
        <v>Plastic Barrels</v>
      </c>
      <c r="G263" s="10" t="str">
        <f t="array" ref="G263">IFERROR(IF(INDEX(T1_ProductType!$E:$E,MATCH(INDEX(T2_GroupSKU!$C:$C,MATCH(B263,T2_GroupSKU!$A:$A,0)),T1_ProductType!$A:$A,0))="","-",INDEX(T1_ProductType!$E:$E,MATCH(INDEX(T2_GroupSKU!$C:$C,MATCH(B263,T2_GroupSKU!$A:$A,0)),T1_ProductType!$A:$A,0))),"-")</f>
        <v>Tight Head Drum</v>
      </c>
      <c r="H263" s="10">
        <f t="array" ref="H263">IFERROR(IF(INDEX(T2_GroupSKU!$D:$D,MATCH(B263,T2_GroupSKU!$A:$A,0))="","-",INDEX(T2_GroupSKU!$D:$D,MATCH(B263,T2_GroupSKU!$A:$A,0))),"-")</f>
        <v>210</v>
      </c>
      <c r="I263" s="10" t="str">
        <f t="array" ref="I263">IFERROR(IF(INDEX(T2_GroupSKU!$E:$E,MATCH(B263,T2_GroupSKU!$A:$A,0))="","-",INDEX(T2_GroupSKU!$E:$E,MATCH(B263,T2_GroupSKU!$A:$A,0))),"-")</f>
        <v>LTR</v>
      </c>
      <c r="J263" s="10" t="str">
        <f>T3_SKU!C263</f>
        <v>Black / 9.2 KG</v>
      </c>
      <c r="K263" s="10" t="str">
        <f>T3_SKU!D263</f>
        <v>210 LTR BLACK N/M 9.2 KG</v>
      </c>
      <c r="L263" s="10" t="str">
        <f>T3_SKU!E263</f>
        <v>NOS</v>
      </c>
      <c r="M263" s="10" t="str">
        <f>T3_SKU!F263</f>
        <v>39233090</v>
      </c>
    </row>
    <row r="264" ht="15.0" customHeight="1">
      <c r="A264" s="10" t="str">
        <f>T3_SKU!A264</f>
        <v>NMD-210-BLU-100KG</v>
      </c>
      <c r="B264" s="10" t="str">
        <f>T3_SKU!B264</f>
        <v>NMD-210</v>
      </c>
      <c r="C264" s="10" t="str">
        <f t="array" ref="C264">IFERROR(INDEX(T2_GroupSKU!$B:$B,MATCH(B264,T2_GroupSKU!$A:$A,0)),"")</f>
        <v>Narrow Mouth Drum - 210.0 LTR</v>
      </c>
      <c r="D264" s="10" t="str">
        <f t="array" ref="D264">IFERROR(INDEX(T1_ProductType!$B:$B,MATCH(INDEX(T2_GroupSKU!$C:$C,MATCH(B264,T2_GroupSKU!$A:$A,0)),T1_ProductType!$A:$A,0)),"")</f>
        <v>Narrow Mouth Drum</v>
      </c>
      <c r="E264" s="10" t="str">
        <f t="array" ref="E264">IFERROR(INDEX(T1_ProductType!$C:$C,MATCH(INDEX(T2_GroupSKU!$C:$C,MATCH(B264,T2_GroupSKU!$A:$A,0)),T1_ProductType!$A:$A,0)),"")</f>
        <v>Drum</v>
      </c>
      <c r="F264" s="10" t="str">
        <f t="array" ref="F264">IFERROR(INDEX(T1_ProductType!$D:$D,MATCH(INDEX(T2_GroupSKU!$C:$C,MATCH(B264,T2_GroupSKU!$A:$A,0)),T1_ProductType!$A:$A,0)),"")</f>
        <v>Plastic Barrels</v>
      </c>
      <c r="G264" s="10" t="str">
        <f t="array" ref="G264">IFERROR(IF(INDEX(T1_ProductType!$E:$E,MATCH(INDEX(T2_GroupSKU!$C:$C,MATCH(B264,T2_GroupSKU!$A:$A,0)),T1_ProductType!$A:$A,0))="","-",INDEX(T1_ProductType!$E:$E,MATCH(INDEX(T2_GroupSKU!$C:$C,MATCH(B264,T2_GroupSKU!$A:$A,0)),T1_ProductType!$A:$A,0))),"-")</f>
        <v>Tight Head Drum</v>
      </c>
      <c r="H264" s="10">
        <f t="array" ref="H264">IFERROR(IF(INDEX(T2_GroupSKU!$D:$D,MATCH(B264,T2_GroupSKU!$A:$A,0))="","-",INDEX(T2_GroupSKU!$D:$D,MATCH(B264,T2_GroupSKU!$A:$A,0))),"-")</f>
        <v>210</v>
      </c>
      <c r="I264" s="10" t="str">
        <f t="array" ref="I264">IFERROR(IF(INDEX(T2_GroupSKU!$E:$E,MATCH(B264,T2_GroupSKU!$A:$A,0))="","-",INDEX(T2_GroupSKU!$E:$E,MATCH(B264,T2_GroupSKU!$A:$A,0))),"-")</f>
        <v>LTR</v>
      </c>
      <c r="J264" s="10" t="str">
        <f>T3_SKU!C264</f>
        <v>Blue / 10.0 KG</v>
      </c>
      <c r="K264" s="10" t="str">
        <f>T3_SKU!D264</f>
        <v>210 LTR BLUE N/M 10.0 KG</v>
      </c>
      <c r="L264" s="10" t="str">
        <f>T3_SKU!E264</f>
        <v>NOS</v>
      </c>
      <c r="M264" s="10" t="str">
        <f>T3_SKU!F264</f>
        <v>39233090</v>
      </c>
    </row>
    <row r="265" ht="15.0" customHeight="1">
      <c r="A265" s="10" t="str">
        <f>T3_SKU!A265</f>
        <v>NMD-210-BLU-102KG</v>
      </c>
      <c r="B265" s="10" t="str">
        <f>T3_SKU!B265</f>
        <v>NMD-210</v>
      </c>
      <c r="C265" s="10" t="str">
        <f t="array" ref="C265">IFERROR(INDEX(T2_GroupSKU!$B:$B,MATCH(B265,T2_GroupSKU!$A:$A,0)),"")</f>
        <v>Narrow Mouth Drum - 210.0 LTR</v>
      </c>
      <c r="D265" s="10" t="str">
        <f t="array" ref="D265">IFERROR(INDEX(T1_ProductType!$B:$B,MATCH(INDEX(T2_GroupSKU!$C:$C,MATCH(B265,T2_GroupSKU!$A:$A,0)),T1_ProductType!$A:$A,0)),"")</f>
        <v>Narrow Mouth Drum</v>
      </c>
      <c r="E265" s="10" t="str">
        <f t="array" ref="E265">IFERROR(INDEX(T1_ProductType!$C:$C,MATCH(INDEX(T2_GroupSKU!$C:$C,MATCH(B265,T2_GroupSKU!$A:$A,0)),T1_ProductType!$A:$A,0)),"")</f>
        <v>Drum</v>
      </c>
      <c r="F265" s="10" t="str">
        <f t="array" ref="F265">IFERROR(INDEX(T1_ProductType!$D:$D,MATCH(INDEX(T2_GroupSKU!$C:$C,MATCH(B265,T2_GroupSKU!$A:$A,0)),T1_ProductType!$A:$A,0)),"")</f>
        <v>Plastic Barrels</v>
      </c>
      <c r="G265" s="10" t="str">
        <f t="array" ref="G265">IFERROR(IF(INDEX(T1_ProductType!$E:$E,MATCH(INDEX(T2_GroupSKU!$C:$C,MATCH(B265,T2_GroupSKU!$A:$A,0)),T1_ProductType!$A:$A,0))="","-",INDEX(T1_ProductType!$E:$E,MATCH(INDEX(T2_GroupSKU!$C:$C,MATCH(B265,T2_GroupSKU!$A:$A,0)),T1_ProductType!$A:$A,0))),"-")</f>
        <v>Tight Head Drum</v>
      </c>
      <c r="H265" s="10">
        <f t="array" ref="H265">IFERROR(IF(INDEX(T2_GroupSKU!$D:$D,MATCH(B265,T2_GroupSKU!$A:$A,0))="","-",INDEX(T2_GroupSKU!$D:$D,MATCH(B265,T2_GroupSKU!$A:$A,0))),"-")</f>
        <v>210</v>
      </c>
      <c r="I265" s="10" t="str">
        <f t="array" ref="I265">IFERROR(IF(INDEX(T2_GroupSKU!$E:$E,MATCH(B265,T2_GroupSKU!$A:$A,0))="","-",INDEX(T2_GroupSKU!$E:$E,MATCH(B265,T2_GroupSKU!$A:$A,0))),"-")</f>
        <v>LTR</v>
      </c>
      <c r="J265" s="10" t="str">
        <f>T3_SKU!C265</f>
        <v>Blue / 10.2 KG</v>
      </c>
      <c r="K265" s="10" t="str">
        <f>T3_SKU!D265</f>
        <v>210 LTR BLUE N/M 10.2 KG</v>
      </c>
      <c r="L265" s="10" t="str">
        <f>T3_SKU!E265</f>
        <v>NOS</v>
      </c>
      <c r="M265" s="10" t="str">
        <f>T3_SKU!F265</f>
        <v>39233090</v>
      </c>
    </row>
    <row r="266" ht="15.0" customHeight="1">
      <c r="A266" s="10" t="str">
        <f>T3_SKU!A266</f>
        <v>NMD-210-BLU-104KG</v>
      </c>
      <c r="B266" s="10" t="str">
        <f>T3_SKU!B266</f>
        <v>NMD-210</v>
      </c>
      <c r="C266" s="10" t="str">
        <f t="array" ref="C266">IFERROR(INDEX(T2_GroupSKU!$B:$B,MATCH(B266,T2_GroupSKU!$A:$A,0)),"")</f>
        <v>Narrow Mouth Drum - 210.0 LTR</v>
      </c>
      <c r="D266" s="10" t="str">
        <f t="array" ref="D266">IFERROR(INDEX(T1_ProductType!$B:$B,MATCH(INDEX(T2_GroupSKU!$C:$C,MATCH(B266,T2_GroupSKU!$A:$A,0)),T1_ProductType!$A:$A,0)),"")</f>
        <v>Narrow Mouth Drum</v>
      </c>
      <c r="E266" s="10" t="str">
        <f t="array" ref="E266">IFERROR(INDEX(T1_ProductType!$C:$C,MATCH(INDEX(T2_GroupSKU!$C:$C,MATCH(B266,T2_GroupSKU!$A:$A,0)),T1_ProductType!$A:$A,0)),"")</f>
        <v>Drum</v>
      </c>
      <c r="F266" s="10" t="str">
        <f t="array" ref="F266">IFERROR(INDEX(T1_ProductType!$D:$D,MATCH(INDEX(T2_GroupSKU!$C:$C,MATCH(B266,T2_GroupSKU!$A:$A,0)),T1_ProductType!$A:$A,0)),"")</f>
        <v>Plastic Barrels</v>
      </c>
      <c r="G266" s="10" t="str">
        <f t="array" ref="G266">IFERROR(IF(INDEX(T1_ProductType!$E:$E,MATCH(INDEX(T2_GroupSKU!$C:$C,MATCH(B266,T2_GroupSKU!$A:$A,0)),T1_ProductType!$A:$A,0))="","-",INDEX(T1_ProductType!$E:$E,MATCH(INDEX(T2_GroupSKU!$C:$C,MATCH(B266,T2_GroupSKU!$A:$A,0)),T1_ProductType!$A:$A,0))),"-")</f>
        <v>Tight Head Drum</v>
      </c>
      <c r="H266" s="10">
        <f t="array" ref="H266">IFERROR(IF(INDEX(T2_GroupSKU!$D:$D,MATCH(B266,T2_GroupSKU!$A:$A,0))="","-",INDEX(T2_GroupSKU!$D:$D,MATCH(B266,T2_GroupSKU!$A:$A,0))),"-")</f>
        <v>210</v>
      </c>
      <c r="I266" s="10" t="str">
        <f t="array" ref="I266">IFERROR(IF(INDEX(T2_GroupSKU!$E:$E,MATCH(B266,T2_GroupSKU!$A:$A,0))="","-",INDEX(T2_GroupSKU!$E:$E,MATCH(B266,T2_GroupSKU!$A:$A,0))),"-")</f>
        <v>LTR</v>
      </c>
      <c r="J266" s="10" t="str">
        <f>T3_SKU!C266</f>
        <v>Blue / 10.4 KG</v>
      </c>
      <c r="K266" s="10" t="str">
        <f>T3_SKU!D266</f>
        <v>210 LTR BLUE N/M 10.4 KG</v>
      </c>
      <c r="L266" s="10" t="str">
        <f>T3_SKU!E266</f>
        <v>NOS</v>
      </c>
      <c r="M266" s="10" t="str">
        <f>T3_SKU!F266</f>
        <v>39233090</v>
      </c>
    </row>
    <row r="267" ht="15.0" customHeight="1">
      <c r="A267" s="10" t="str">
        <f>T3_SKU!A267</f>
        <v>NMD-210-BLU-105KG</v>
      </c>
      <c r="B267" s="10" t="str">
        <f>T3_SKU!B267</f>
        <v>NMD-210</v>
      </c>
      <c r="C267" s="10" t="str">
        <f t="array" ref="C267">IFERROR(INDEX(T2_GroupSKU!$B:$B,MATCH(B267,T2_GroupSKU!$A:$A,0)),"")</f>
        <v>Narrow Mouth Drum - 210.0 LTR</v>
      </c>
      <c r="D267" s="10" t="str">
        <f t="array" ref="D267">IFERROR(INDEX(T1_ProductType!$B:$B,MATCH(INDEX(T2_GroupSKU!$C:$C,MATCH(B267,T2_GroupSKU!$A:$A,0)),T1_ProductType!$A:$A,0)),"")</f>
        <v>Narrow Mouth Drum</v>
      </c>
      <c r="E267" s="10" t="str">
        <f t="array" ref="E267">IFERROR(INDEX(T1_ProductType!$C:$C,MATCH(INDEX(T2_GroupSKU!$C:$C,MATCH(B267,T2_GroupSKU!$A:$A,0)),T1_ProductType!$A:$A,0)),"")</f>
        <v>Drum</v>
      </c>
      <c r="F267" s="10" t="str">
        <f t="array" ref="F267">IFERROR(INDEX(T1_ProductType!$D:$D,MATCH(INDEX(T2_GroupSKU!$C:$C,MATCH(B267,T2_GroupSKU!$A:$A,0)),T1_ProductType!$A:$A,0)),"")</f>
        <v>Plastic Barrels</v>
      </c>
      <c r="G267" s="10" t="str">
        <f t="array" ref="G267">IFERROR(IF(INDEX(T1_ProductType!$E:$E,MATCH(INDEX(T2_GroupSKU!$C:$C,MATCH(B267,T2_GroupSKU!$A:$A,0)),T1_ProductType!$A:$A,0))="","-",INDEX(T1_ProductType!$E:$E,MATCH(INDEX(T2_GroupSKU!$C:$C,MATCH(B267,T2_GroupSKU!$A:$A,0)),T1_ProductType!$A:$A,0))),"-")</f>
        <v>Tight Head Drum</v>
      </c>
      <c r="H267" s="10">
        <f t="array" ref="H267">IFERROR(IF(INDEX(T2_GroupSKU!$D:$D,MATCH(B267,T2_GroupSKU!$A:$A,0))="","-",INDEX(T2_GroupSKU!$D:$D,MATCH(B267,T2_GroupSKU!$A:$A,0))),"-")</f>
        <v>210</v>
      </c>
      <c r="I267" s="10" t="str">
        <f t="array" ref="I267">IFERROR(IF(INDEX(T2_GroupSKU!$E:$E,MATCH(B267,T2_GroupSKU!$A:$A,0))="","-",INDEX(T2_GroupSKU!$E:$E,MATCH(B267,T2_GroupSKU!$A:$A,0))),"-")</f>
        <v>LTR</v>
      </c>
      <c r="J267" s="10" t="str">
        <f>T3_SKU!C267</f>
        <v>Blue / 10.5 KG</v>
      </c>
      <c r="K267" s="10" t="str">
        <f>T3_SKU!D267</f>
        <v>210 LTR BLUE N/M 10.5 KG</v>
      </c>
      <c r="L267" s="10" t="str">
        <f>T3_SKU!E267</f>
        <v>NOS</v>
      </c>
      <c r="M267" s="10" t="str">
        <f>T3_SKU!F267</f>
        <v>39233090</v>
      </c>
    </row>
    <row r="268" ht="15.0" customHeight="1">
      <c r="A268" s="10" t="str">
        <f>T3_SKU!A268</f>
        <v>NMD-210-BLU-106KG</v>
      </c>
      <c r="B268" s="10" t="str">
        <f>T3_SKU!B268</f>
        <v>NMD-210</v>
      </c>
      <c r="C268" s="10" t="str">
        <f t="array" ref="C268">IFERROR(INDEX(T2_GroupSKU!$B:$B,MATCH(B268,T2_GroupSKU!$A:$A,0)),"")</f>
        <v>Narrow Mouth Drum - 210.0 LTR</v>
      </c>
      <c r="D268" s="10" t="str">
        <f t="array" ref="D268">IFERROR(INDEX(T1_ProductType!$B:$B,MATCH(INDEX(T2_GroupSKU!$C:$C,MATCH(B268,T2_GroupSKU!$A:$A,0)),T1_ProductType!$A:$A,0)),"")</f>
        <v>Narrow Mouth Drum</v>
      </c>
      <c r="E268" s="10" t="str">
        <f t="array" ref="E268">IFERROR(INDEX(T1_ProductType!$C:$C,MATCH(INDEX(T2_GroupSKU!$C:$C,MATCH(B268,T2_GroupSKU!$A:$A,0)),T1_ProductType!$A:$A,0)),"")</f>
        <v>Drum</v>
      </c>
      <c r="F268" s="10" t="str">
        <f t="array" ref="F268">IFERROR(INDEX(T1_ProductType!$D:$D,MATCH(INDEX(T2_GroupSKU!$C:$C,MATCH(B268,T2_GroupSKU!$A:$A,0)),T1_ProductType!$A:$A,0)),"")</f>
        <v>Plastic Barrels</v>
      </c>
      <c r="G268" s="10" t="str">
        <f t="array" ref="G268">IFERROR(IF(INDEX(T1_ProductType!$E:$E,MATCH(INDEX(T2_GroupSKU!$C:$C,MATCH(B268,T2_GroupSKU!$A:$A,0)),T1_ProductType!$A:$A,0))="","-",INDEX(T1_ProductType!$E:$E,MATCH(INDEX(T2_GroupSKU!$C:$C,MATCH(B268,T2_GroupSKU!$A:$A,0)),T1_ProductType!$A:$A,0))),"-")</f>
        <v>Tight Head Drum</v>
      </c>
      <c r="H268" s="10">
        <f t="array" ref="H268">IFERROR(IF(INDEX(T2_GroupSKU!$D:$D,MATCH(B268,T2_GroupSKU!$A:$A,0))="","-",INDEX(T2_GroupSKU!$D:$D,MATCH(B268,T2_GroupSKU!$A:$A,0))),"-")</f>
        <v>210</v>
      </c>
      <c r="I268" s="10" t="str">
        <f t="array" ref="I268">IFERROR(IF(INDEX(T2_GroupSKU!$E:$E,MATCH(B268,T2_GroupSKU!$A:$A,0))="","-",INDEX(T2_GroupSKU!$E:$E,MATCH(B268,T2_GroupSKU!$A:$A,0))),"-")</f>
        <v>LTR</v>
      </c>
      <c r="J268" s="10" t="str">
        <f>T3_SKU!C268</f>
        <v>Blue / 10.6 KG</v>
      </c>
      <c r="K268" s="10" t="str">
        <f>T3_SKU!D268</f>
        <v>210 LTR BLUE N/M 10.6 KG</v>
      </c>
      <c r="L268" s="10" t="str">
        <f>T3_SKU!E268</f>
        <v>NOS</v>
      </c>
      <c r="M268" s="10" t="str">
        <f>T3_SKU!F268</f>
        <v>39233090</v>
      </c>
    </row>
    <row r="269" ht="15.0" customHeight="1">
      <c r="A269" s="10" t="str">
        <f>T3_SKU!A269</f>
        <v>NMD-210-BLU-35KG</v>
      </c>
      <c r="B269" s="10" t="str">
        <f>T3_SKU!B269</f>
        <v>NMD-210</v>
      </c>
      <c r="C269" s="10" t="str">
        <f t="array" ref="C269">IFERROR(INDEX(T2_GroupSKU!$B:$B,MATCH(B269,T2_GroupSKU!$A:$A,0)),"")</f>
        <v>Narrow Mouth Drum - 210.0 LTR</v>
      </c>
      <c r="D269" s="10" t="str">
        <f t="array" ref="D269">IFERROR(INDEX(T1_ProductType!$B:$B,MATCH(INDEX(T2_GroupSKU!$C:$C,MATCH(B269,T2_GroupSKU!$A:$A,0)),T1_ProductType!$A:$A,0)),"")</f>
        <v>Narrow Mouth Drum</v>
      </c>
      <c r="E269" s="10" t="str">
        <f t="array" ref="E269">IFERROR(INDEX(T1_ProductType!$C:$C,MATCH(INDEX(T2_GroupSKU!$C:$C,MATCH(B269,T2_GroupSKU!$A:$A,0)),T1_ProductType!$A:$A,0)),"")</f>
        <v>Drum</v>
      </c>
      <c r="F269" s="10" t="str">
        <f t="array" ref="F269">IFERROR(INDEX(T1_ProductType!$D:$D,MATCH(INDEX(T2_GroupSKU!$C:$C,MATCH(B269,T2_GroupSKU!$A:$A,0)),T1_ProductType!$A:$A,0)),"")</f>
        <v>Plastic Barrels</v>
      </c>
      <c r="G269" s="10" t="str">
        <f t="array" ref="G269">IFERROR(IF(INDEX(T1_ProductType!$E:$E,MATCH(INDEX(T2_GroupSKU!$C:$C,MATCH(B269,T2_GroupSKU!$A:$A,0)),T1_ProductType!$A:$A,0))="","-",INDEX(T1_ProductType!$E:$E,MATCH(INDEX(T2_GroupSKU!$C:$C,MATCH(B269,T2_GroupSKU!$A:$A,0)),T1_ProductType!$A:$A,0))),"-")</f>
        <v>Tight Head Drum</v>
      </c>
      <c r="H269" s="10">
        <f t="array" ref="H269">IFERROR(IF(INDEX(T2_GroupSKU!$D:$D,MATCH(B269,T2_GroupSKU!$A:$A,0))="","-",INDEX(T2_GroupSKU!$D:$D,MATCH(B269,T2_GroupSKU!$A:$A,0))),"-")</f>
        <v>210</v>
      </c>
      <c r="I269" s="10" t="str">
        <f t="array" ref="I269">IFERROR(IF(INDEX(T2_GroupSKU!$E:$E,MATCH(B269,T2_GroupSKU!$A:$A,0))="","-",INDEX(T2_GroupSKU!$E:$E,MATCH(B269,T2_GroupSKU!$A:$A,0))),"-")</f>
        <v>LTR</v>
      </c>
      <c r="J269" s="10" t="str">
        <f>T3_SKU!C269</f>
        <v>Blue / 3.5 KG</v>
      </c>
      <c r="K269" s="10" t="str">
        <f>T3_SKU!D269</f>
        <v>210 LTR BLUE N/M INNER CONTAINER 3.5 KG</v>
      </c>
      <c r="L269" s="10" t="str">
        <f>T3_SKU!E269</f>
        <v>NOS</v>
      </c>
      <c r="M269" s="10" t="str">
        <f>T3_SKU!F269</f>
        <v>39233090</v>
      </c>
    </row>
    <row r="270" ht="15.0" customHeight="1">
      <c r="A270" s="10" t="str">
        <f>T3_SKU!A270</f>
        <v>NMD-210-BLU-55KG</v>
      </c>
      <c r="B270" s="10" t="str">
        <f>T3_SKU!B270</f>
        <v>NMD-210</v>
      </c>
      <c r="C270" s="10" t="str">
        <f t="array" ref="C270">IFERROR(INDEX(T2_GroupSKU!$B:$B,MATCH(B270,T2_GroupSKU!$A:$A,0)),"")</f>
        <v>Narrow Mouth Drum - 210.0 LTR</v>
      </c>
      <c r="D270" s="10" t="str">
        <f t="array" ref="D270">IFERROR(INDEX(T1_ProductType!$B:$B,MATCH(INDEX(T2_GroupSKU!$C:$C,MATCH(B270,T2_GroupSKU!$A:$A,0)),T1_ProductType!$A:$A,0)),"")</f>
        <v>Narrow Mouth Drum</v>
      </c>
      <c r="E270" s="10" t="str">
        <f t="array" ref="E270">IFERROR(INDEX(T1_ProductType!$C:$C,MATCH(INDEX(T2_GroupSKU!$C:$C,MATCH(B270,T2_GroupSKU!$A:$A,0)),T1_ProductType!$A:$A,0)),"")</f>
        <v>Drum</v>
      </c>
      <c r="F270" s="10" t="str">
        <f t="array" ref="F270">IFERROR(INDEX(T1_ProductType!$D:$D,MATCH(INDEX(T2_GroupSKU!$C:$C,MATCH(B270,T2_GroupSKU!$A:$A,0)),T1_ProductType!$A:$A,0)),"")</f>
        <v>Plastic Barrels</v>
      </c>
      <c r="G270" s="10" t="str">
        <f t="array" ref="G270">IFERROR(IF(INDEX(T1_ProductType!$E:$E,MATCH(INDEX(T2_GroupSKU!$C:$C,MATCH(B270,T2_GroupSKU!$A:$A,0)),T1_ProductType!$A:$A,0))="","-",INDEX(T1_ProductType!$E:$E,MATCH(INDEX(T2_GroupSKU!$C:$C,MATCH(B270,T2_GroupSKU!$A:$A,0)),T1_ProductType!$A:$A,0))),"-")</f>
        <v>Tight Head Drum</v>
      </c>
      <c r="H270" s="10">
        <f t="array" ref="H270">IFERROR(IF(INDEX(T2_GroupSKU!$D:$D,MATCH(B270,T2_GroupSKU!$A:$A,0))="","-",INDEX(T2_GroupSKU!$D:$D,MATCH(B270,T2_GroupSKU!$A:$A,0))),"-")</f>
        <v>210</v>
      </c>
      <c r="I270" s="10" t="str">
        <f t="array" ref="I270">IFERROR(IF(INDEX(T2_GroupSKU!$E:$E,MATCH(B270,T2_GroupSKU!$A:$A,0))="","-",INDEX(T2_GroupSKU!$E:$E,MATCH(B270,T2_GroupSKU!$A:$A,0))),"-")</f>
        <v>LTR</v>
      </c>
      <c r="J270" s="10" t="str">
        <f>T3_SKU!C270</f>
        <v>Blue / 5.5 KG</v>
      </c>
      <c r="K270" s="10" t="str">
        <f>T3_SKU!D270</f>
        <v>210 LTR BLUE N/M INNER CONTAINER 5.5 KG</v>
      </c>
      <c r="L270" s="10" t="str">
        <f>T3_SKU!E270</f>
        <v>NOS</v>
      </c>
      <c r="M270" s="10" t="str">
        <f>T3_SKU!F270</f>
        <v>39233090</v>
      </c>
    </row>
    <row r="271" ht="15.0" customHeight="1">
      <c r="A271" s="10" t="str">
        <f>T3_SKU!A271</f>
        <v>NMD-210-BLU-75KG</v>
      </c>
      <c r="B271" s="10" t="str">
        <f>T3_SKU!B271</f>
        <v>NMD-210</v>
      </c>
      <c r="C271" s="10" t="str">
        <f t="array" ref="C271">IFERROR(INDEX(T2_GroupSKU!$B:$B,MATCH(B271,T2_GroupSKU!$A:$A,0)),"")</f>
        <v>Narrow Mouth Drum - 210.0 LTR</v>
      </c>
      <c r="D271" s="10" t="str">
        <f t="array" ref="D271">IFERROR(INDEX(T1_ProductType!$B:$B,MATCH(INDEX(T2_GroupSKU!$C:$C,MATCH(B271,T2_GroupSKU!$A:$A,0)),T1_ProductType!$A:$A,0)),"")</f>
        <v>Narrow Mouth Drum</v>
      </c>
      <c r="E271" s="10" t="str">
        <f t="array" ref="E271">IFERROR(INDEX(T1_ProductType!$C:$C,MATCH(INDEX(T2_GroupSKU!$C:$C,MATCH(B271,T2_GroupSKU!$A:$A,0)),T1_ProductType!$A:$A,0)),"")</f>
        <v>Drum</v>
      </c>
      <c r="F271" s="10" t="str">
        <f t="array" ref="F271">IFERROR(INDEX(T1_ProductType!$D:$D,MATCH(INDEX(T2_GroupSKU!$C:$C,MATCH(B271,T2_GroupSKU!$A:$A,0)),T1_ProductType!$A:$A,0)),"")</f>
        <v>Plastic Barrels</v>
      </c>
      <c r="G271" s="10" t="str">
        <f t="array" ref="G271">IFERROR(IF(INDEX(T1_ProductType!$E:$E,MATCH(INDEX(T2_GroupSKU!$C:$C,MATCH(B271,T2_GroupSKU!$A:$A,0)),T1_ProductType!$A:$A,0))="","-",INDEX(T1_ProductType!$E:$E,MATCH(INDEX(T2_GroupSKU!$C:$C,MATCH(B271,T2_GroupSKU!$A:$A,0)),T1_ProductType!$A:$A,0))),"-")</f>
        <v>Tight Head Drum</v>
      </c>
      <c r="H271" s="10">
        <f t="array" ref="H271">IFERROR(IF(INDEX(T2_GroupSKU!$D:$D,MATCH(B271,T2_GroupSKU!$A:$A,0))="","-",INDEX(T2_GroupSKU!$D:$D,MATCH(B271,T2_GroupSKU!$A:$A,0))),"-")</f>
        <v>210</v>
      </c>
      <c r="I271" s="10" t="str">
        <f t="array" ref="I271">IFERROR(IF(INDEX(T2_GroupSKU!$E:$E,MATCH(B271,T2_GroupSKU!$A:$A,0))="","-",INDEX(T2_GroupSKU!$E:$E,MATCH(B271,T2_GroupSKU!$A:$A,0))),"-")</f>
        <v>LTR</v>
      </c>
      <c r="J271" s="10" t="str">
        <f>T3_SKU!C271</f>
        <v>Blue / 7.5 KG</v>
      </c>
      <c r="K271" s="10" t="str">
        <f>T3_SKU!D271</f>
        <v>210 LTR BLUE N/M 7.5 KG</v>
      </c>
      <c r="L271" s="10" t="str">
        <f>T3_SKU!E271</f>
        <v>NOS</v>
      </c>
      <c r="M271" s="10" t="str">
        <f>T3_SKU!F271</f>
        <v>39233090</v>
      </c>
    </row>
    <row r="272" ht="15.0" customHeight="1">
      <c r="A272" s="10" t="str">
        <f>T3_SKU!A272</f>
        <v>NMD-210-BLU-76KG</v>
      </c>
      <c r="B272" s="10" t="str">
        <f>T3_SKU!B272</f>
        <v>NMD-210</v>
      </c>
      <c r="C272" s="10" t="str">
        <f t="array" ref="C272">IFERROR(INDEX(T2_GroupSKU!$B:$B,MATCH(B272,T2_GroupSKU!$A:$A,0)),"")</f>
        <v>Narrow Mouth Drum - 210.0 LTR</v>
      </c>
      <c r="D272" s="10" t="str">
        <f t="array" ref="D272">IFERROR(INDEX(T1_ProductType!$B:$B,MATCH(INDEX(T2_GroupSKU!$C:$C,MATCH(B272,T2_GroupSKU!$A:$A,0)),T1_ProductType!$A:$A,0)),"")</f>
        <v>Narrow Mouth Drum</v>
      </c>
      <c r="E272" s="10" t="str">
        <f t="array" ref="E272">IFERROR(INDEX(T1_ProductType!$C:$C,MATCH(INDEX(T2_GroupSKU!$C:$C,MATCH(B272,T2_GroupSKU!$A:$A,0)),T1_ProductType!$A:$A,0)),"")</f>
        <v>Drum</v>
      </c>
      <c r="F272" s="10" t="str">
        <f t="array" ref="F272">IFERROR(INDEX(T1_ProductType!$D:$D,MATCH(INDEX(T2_GroupSKU!$C:$C,MATCH(B272,T2_GroupSKU!$A:$A,0)),T1_ProductType!$A:$A,0)),"")</f>
        <v>Plastic Barrels</v>
      </c>
      <c r="G272" s="10" t="str">
        <f t="array" ref="G272">IFERROR(IF(INDEX(T1_ProductType!$E:$E,MATCH(INDEX(T2_GroupSKU!$C:$C,MATCH(B272,T2_GroupSKU!$A:$A,0)),T1_ProductType!$A:$A,0))="","-",INDEX(T1_ProductType!$E:$E,MATCH(INDEX(T2_GroupSKU!$C:$C,MATCH(B272,T2_GroupSKU!$A:$A,0)),T1_ProductType!$A:$A,0))),"-")</f>
        <v>Tight Head Drum</v>
      </c>
      <c r="H272" s="10">
        <f t="array" ref="H272">IFERROR(IF(INDEX(T2_GroupSKU!$D:$D,MATCH(B272,T2_GroupSKU!$A:$A,0))="","-",INDEX(T2_GroupSKU!$D:$D,MATCH(B272,T2_GroupSKU!$A:$A,0))),"-")</f>
        <v>210</v>
      </c>
      <c r="I272" s="10" t="str">
        <f t="array" ref="I272">IFERROR(IF(INDEX(T2_GroupSKU!$E:$E,MATCH(B272,T2_GroupSKU!$A:$A,0))="","-",INDEX(T2_GroupSKU!$E:$E,MATCH(B272,T2_GroupSKU!$A:$A,0))),"-")</f>
        <v>LTR</v>
      </c>
      <c r="J272" s="10" t="str">
        <f>T3_SKU!C272</f>
        <v>Blue / 7.6 KG</v>
      </c>
      <c r="K272" s="10" t="str">
        <f>T3_SKU!D272</f>
        <v>210 LTR BLUE N/M 7.6 KG</v>
      </c>
      <c r="L272" s="10" t="str">
        <f>T3_SKU!E272</f>
        <v>NOS</v>
      </c>
      <c r="M272" s="10" t="str">
        <f>T3_SKU!F272</f>
        <v>39233090</v>
      </c>
    </row>
    <row r="273" ht="15.0" customHeight="1">
      <c r="A273" s="10" t="str">
        <f>T3_SKU!A273</f>
        <v>NMD-210-BLU-78KG</v>
      </c>
      <c r="B273" s="10" t="str">
        <f>T3_SKU!B273</f>
        <v>NMD-210</v>
      </c>
      <c r="C273" s="10" t="str">
        <f t="array" ref="C273">IFERROR(INDEX(T2_GroupSKU!$B:$B,MATCH(B273,T2_GroupSKU!$A:$A,0)),"")</f>
        <v>Narrow Mouth Drum - 210.0 LTR</v>
      </c>
      <c r="D273" s="10" t="str">
        <f t="array" ref="D273">IFERROR(INDEX(T1_ProductType!$B:$B,MATCH(INDEX(T2_GroupSKU!$C:$C,MATCH(B273,T2_GroupSKU!$A:$A,0)),T1_ProductType!$A:$A,0)),"")</f>
        <v>Narrow Mouth Drum</v>
      </c>
      <c r="E273" s="10" t="str">
        <f t="array" ref="E273">IFERROR(INDEX(T1_ProductType!$C:$C,MATCH(INDEX(T2_GroupSKU!$C:$C,MATCH(B273,T2_GroupSKU!$A:$A,0)),T1_ProductType!$A:$A,0)),"")</f>
        <v>Drum</v>
      </c>
      <c r="F273" s="10" t="str">
        <f t="array" ref="F273">IFERROR(INDEX(T1_ProductType!$D:$D,MATCH(INDEX(T2_GroupSKU!$C:$C,MATCH(B273,T2_GroupSKU!$A:$A,0)),T1_ProductType!$A:$A,0)),"")</f>
        <v>Plastic Barrels</v>
      </c>
      <c r="G273" s="10" t="str">
        <f t="array" ref="G273">IFERROR(IF(INDEX(T1_ProductType!$E:$E,MATCH(INDEX(T2_GroupSKU!$C:$C,MATCH(B273,T2_GroupSKU!$A:$A,0)),T1_ProductType!$A:$A,0))="","-",INDEX(T1_ProductType!$E:$E,MATCH(INDEX(T2_GroupSKU!$C:$C,MATCH(B273,T2_GroupSKU!$A:$A,0)),T1_ProductType!$A:$A,0))),"-")</f>
        <v>Tight Head Drum</v>
      </c>
      <c r="H273" s="10">
        <f t="array" ref="H273">IFERROR(IF(INDEX(T2_GroupSKU!$D:$D,MATCH(B273,T2_GroupSKU!$A:$A,0))="","-",INDEX(T2_GroupSKU!$D:$D,MATCH(B273,T2_GroupSKU!$A:$A,0))),"-")</f>
        <v>210</v>
      </c>
      <c r="I273" s="10" t="str">
        <f t="array" ref="I273">IFERROR(IF(INDEX(T2_GroupSKU!$E:$E,MATCH(B273,T2_GroupSKU!$A:$A,0))="","-",INDEX(T2_GroupSKU!$E:$E,MATCH(B273,T2_GroupSKU!$A:$A,0))),"-")</f>
        <v>LTR</v>
      </c>
      <c r="J273" s="10" t="str">
        <f>T3_SKU!C273</f>
        <v>Blue / 7.8 KG</v>
      </c>
      <c r="K273" s="10" t="str">
        <f>T3_SKU!D273</f>
        <v>210 LTR BLUE N/M 7.8 KG</v>
      </c>
      <c r="L273" s="10" t="str">
        <f>T3_SKU!E273</f>
        <v>NOS</v>
      </c>
      <c r="M273" s="10" t="str">
        <f>T3_SKU!F273</f>
        <v>39233090</v>
      </c>
    </row>
    <row r="274" ht="15.0" customHeight="1">
      <c r="A274" s="10" t="str">
        <f>T3_SKU!A274</f>
        <v>NMD-210-BLU-80KG</v>
      </c>
      <c r="B274" s="10" t="str">
        <f>T3_SKU!B274</f>
        <v>NMD-210</v>
      </c>
      <c r="C274" s="10" t="str">
        <f t="array" ref="C274">IFERROR(INDEX(T2_GroupSKU!$B:$B,MATCH(B274,T2_GroupSKU!$A:$A,0)),"")</f>
        <v>Narrow Mouth Drum - 210.0 LTR</v>
      </c>
      <c r="D274" s="10" t="str">
        <f t="array" ref="D274">IFERROR(INDEX(T1_ProductType!$B:$B,MATCH(INDEX(T2_GroupSKU!$C:$C,MATCH(B274,T2_GroupSKU!$A:$A,0)),T1_ProductType!$A:$A,0)),"")</f>
        <v>Narrow Mouth Drum</v>
      </c>
      <c r="E274" s="10" t="str">
        <f t="array" ref="E274">IFERROR(INDEX(T1_ProductType!$C:$C,MATCH(INDEX(T2_GroupSKU!$C:$C,MATCH(B274,T2_GroupSKU!$A:$A,0)),T1_ProductType!$A:$A,0)),"")</f>
        <v>Drum</v>
      </c>
      <c r="F274" s="10" t="str">
        <f t="array" ref="F274">IFERROR(INDEX(T1_ProductType!$D:$D,MATCH(INDEX(T2_GroupSKU!$C:$C,MATCH(B274,T2_GroupSKU!$A:$A,0)),T1_ProductType!$A:$A,0)),"")</f>
        <v>Plastic Barrels</v>
      </c>
      <c r="G274" s="10" t="str">
        <f t="array" ref="G274">IFERROR(IF(INDEX(T1_ProductType!$E:$E,MATCH(INDEX(T2_GroupSKU!$C:$C,MATCH(B274,T2_GroupSKU!$A:$A,0)),T1_ProductType!$A:$A,0))="","-",INDEX(T1_ProductType!$E:$E,MATCH(INDEX(T2_GroupSKU!$C:$C,MATCH(B274,T2_GroupSKU!$A:$A,0)),T1_ProductType!$A:$A,0))),"-")</f>
        <v>Tight Head Drum</v>
      </c>
      <c r="H274" s="10">
        <f t="array" ref="H274">IFERROR(IF(INDEX(T2_GroupSKU!$D:$D,MATCH(B274,T2_GroupSKU!$A:$A,0))="","-",INDEX(T2_GroupSKU!$D:$D,MATCH(B274,T2_GroupSKU!$A:$A,0))),"-")</f>
        <v>210</v>
      </c>
      <c r="I274" s="10" t="str">
        <f t="array" ref="I274">IFERROR(IF(INDEX(T2_GroupSKU!$E:$E,MATCH(B274,T2_GroupSKU!$A:$A,0))="","-",INDEX(T2_GroupSKU!$E:$E,MATCH(B274,T2_GroupSKU!$A:$A,0))),"-")</f>
        <v>LTR</v>
      </c>
      <c r="J274" s="10" t="str">
        <f>T3_SKU!C274</f>
        <v>Blue / 8.0 KG</v>
      </c>
      <c r="K274" s="10" t="str">
        <f>T3_SKU!D274</f>
        <v>210 LTR BLUE N/M 8.0 KG</v>
      </c>
      <c r="L274" s="10" t="str">
        <f>T3_SKU!E274</f>
        <v>NOS</v>
      </c>
      <c r="M274" s="10" t="str">
        <f>T3_SKU!F274</f>
        <v>39233090</v>
      </c>
    </row>
    <row r="275" ht="15.0" customHeight="1">
      <c r="A275" s="10" t="str">
        <f>T3_SKU!A275</f>
        <v>NMD-210-BLU-82KG</v>
      </c>
      <c r="B275" s="10" t="str">
        <f>T3_SKU!B275</f>
        <v>NMD-210</v>
      </c>
      <c r="C275" s="10" t="str">
        <f t="array" ref="C275">IFERROR(INDEX(T2_GroupSKU!$B:$B,MATCH(B275,T2_GroupSKU!$A:$A,0)),"")</f>
        <v>Narrow Mouth Drum - 210.0 LTR</v>
      </c>
      <c r="D275" s="10" t="str">
        <f t="array" ref="D275">IFERROR(INDEX(T1_ProductType!$B:$B,MATCH(INDEX(T2_GroupSKU!$C:$C,MATCH(B275,T2_GroupSKU!$A:$A,0)),T1_ProductType!$A:$A,0)),"")</f>
        <v>Narrow Mouth Drum</v>
      </c>
      <c r="E275" s="10" t="str">
        <f t="array" ref="E275">IFERROR(INDEX(T1_ProductType!$C:$C,MATCH(INDEX(T2_GroupSKU!$C:$C,MATCH(B275,T2_GroupSKU!$A:$A,0)),T1_ProductType!$A:$A,0)),"")</f>
        <v>Drum</v>
      </c>
      <c r="F275" s="10" t="str">
        <f t="array" ref="F275">IFERROR(INDEX(T1_ProductType!$D:$D,MATCH(INDEX(T2_GroupSKU!$C:$C,MATCH(B275,T2_GroupSKU!$A:$A,0)),T1_ProductType!$A:$A,0)),"")</f>
        <v>Plastic Barrels</v>
      </c>
      <c r="G275" s="10" t="str">
        <f t="array" ref="G275">IFERROR(IF(INDEX(T1_ProductType!$E:$E,MATCH(INDEX(T2_GroupSKU!$C:$C,MATCH(B275,T2_GroupSKU!$A:$A,0)),T1_ProductType!$A:$A,0))="","-",INDEX(T1_ProductType!$E:$E,MATCH(INDEX(T2_GroupSKU!$C:$C,MATCH(B275,T2_GroupSKU!$A:$A,0)),T1_ProductType!$A:$A,0))),"-")</f>
        <v>Tight Head Drum</v>
      </c>
      <c r="H275" s="10">
        <f t="array" ref="H275">IFERROR(IF(INDEX(T2_GroupSKU!$D:$D,MATCH(B275,T2_GroupSKU!$A:$A,0))="","-",INDEX(T2_GroupSKU!$D:$D,MATCH(B275,T2_GroupSKU!$A:$A,0))),"-")</f>
        <v>210</v>
      </c>
      <c r="I275" s="10" t="str">
        <f t="array" ref="I275">IFERROR(IF(INDEX(T2_GroupSKU!$E:$E,MATCH(B275,T2_GroupSKU!$A:$A,0))="","-",INDEX(T2_GroupSKU!$E:$E,MATCH(B275,T2_GroupSKU!$A:$A,0))),"-")</f>
        <v>LTR</v>
      </c>
      <c r="J275" s="10" t="str">
        <f>T3_SKU!C275</f>
        <v>Blue / 8.2 KG</v>
      </c>
      <c r="K275" s="10" t="str">
        <f>T3_SKU!D275</f>
        <v>210 LTR BLUE N/M 8.2 KG</v>
      </c>
      <c r="L275" s="10" t="str">
        <f>T3_SKU!E275</f>
        <v>NOS</v>
      </c>
      <c r="M275" s="10" t="str">
        <f>T3_SKU!F275</f>
        <v>39233090</v>
      </c>
    </row>
    <row r="276" ht="15.0" customHeight="1">
      <c r="A276" s="10" t="str">
        <f>T3_SKU!A276</f>
        <v>NMD-210-BLU-85KG</v>
      </c>
      <c r="B276" s="10" t="str">
        <f>T3_SKU!B276</f>
        <v>NMD-210</v>
      </c>
      <c r="C276" s="10" t="str">
        <f t="array" ref="C276">IFERROR(INDEX(T2_GroupSKU!$B:$B,MATCH(B276,T2_GroupSKU!$A:$A,0)),"")</f>
        <v>Narrow Mouth Drum - 210.0 LTR</v>
      </c>
      <c r="D276" s="10" t="str">
        <f t="array" ref="D276">IFERROR(INDEX(T1_ProductType!$B:$B,MATCH(INDEX(T2_GroupSKU!$C:$C,MATCH(B276,T2_GroupSKU!$A:$A,0)),T1_ProductType!$A:$A,0)),"")</f>
        <v>Narrow Mouth Drum</v>
      </c>
      <c r="E276" s="10" t="str">
        <f t="array" ref="E276">IFERROR(INDEX(T1_ProductType!$C:$C,MATCH(INDEX(T2_GroupSKU!$C:$C,MATCH(B276,T2_GroupSKU!$A:$A,0)),T1_ProductType!$A:$A,0)),"")</f>
        <v>Drum</v>
      </c>
      <c r="F276" s="10" t="str">
        <f t="array" ref="F276">IFERROR(INDEX(T1_ProductType!$D:$D,MATCH(INDEX(T2_GroupSKU!$C:$C,MATCH(B276,T2_GroupSKU!$A:$A,0)),T1_ProductType!$A:$A,0)),"")</f>
        <v>Plastic Barrels</v>
      </c>
      <c r="G276" s="10" t="str">
        <f t="array" ref="G276">IFERROR(IF(INDEX(T1_ProductType!$E:$E,MATCH(INDEX(T2_GroupSKU!$C:$C,MATCH(B276,T2_GroupSKU!$A:$A,0)),T1_ProductType!$A:$A,0))="","-",INDEX(T1_ProductType!$E:$E,MATCH(INDEX(T2_GroupSKU!$C:$C,MATCH(B276,T2_GroupSKU!$A:$A,0)),T1_ProductType!$A:$A,0))),"-")</f>
        <v>Tight Head Drum</v>
      </c>
      <c r="H276" s="10">
        <f t="array" ref="H276">IFERROR(IF(INDEX(T2_GroupSKU!$D:$D,MATCH(B276,T2_GroupSKU!$A:$A,0))="","-",INDEX(T2_GroupSKU!$D:$D,MATCH(B276,T2_GroupSKU!$A:$A,0))),"-")</f>
        <v>210</v>
      </c>
      <c r="I276" s="10" t="str">
        <f t="array" ref="I276">IFERROR(IF(INDEX(T2_GroupSKU!$E:$E,MATCH(B276,T2_GroupSKU!$A:$A,0))="","-",INDEX(T2_GroupSKU!$E:$E,MATCH(B276,T2_GroupSKU!$A:$A,0))),"-")</f>
        <v>LTR</v>
      </c>
      <c r="J276" s="10" t="str">
        <f>T3_SKU!C276</f>
        <v>Blue / 8.5 KG</v>
      </c>
      <c r="K276" s="10" t="str">
        <f>T3_SKU!D276</f>
        <v>210 LTR BLUE N/M 8.5 KG</v>
      </c>
      <c r="L276" s="10" t="str">
        <f>T3_SKU!E276</f>
        <v>NOS</v>
      </c>
      <c r="M276" s="10" t="str">
        <f>T3_SKU!F276</f>
        <v>39233090</v>
      </c>
    </row>
    <row r="277" ht="15.0" customHeight="1">
      <c r="A277" s="10" t="str">
        <f>T3_SKU!A277</f>
        <v>NMD-210-BLU-86KG</v>
      </c>
      <c r="B277" s="10" t="str">
        <f>T3_SKU!B277</f>
        <v>NMD-210</v>
      </c>
      <c r="C277" s="10" t="str">
        <f t="array" ref="C277">IFERROR(INDEX(T2_GroupSKU!$B:$B,MATCH(B277,T2_GroupSKU!$A:$A,0)),"")</f>
        <v>Narrow Mouth Drum - 210.0 LTR</v>
      </c>
      <c r="D277" s="10" t="str">
        <f t="array" ref="D277">IFERROR(INDEX(T1_ProductType!$B:$B,MATCH(INDEX(T2_GroupSKU!$C:$C,MATCH(B277,T2_GroupSKU!$A:$A,0)),T1_ProductType!$A:$A,0)),"")</f>
        <v>Narrow Mouth Drum</v>
      </c>
      <c r="E277" s="10" t="str">
        <f t="array" ref="E277">IFERROR(INDEX(T1_ProductType!$C:$C,MATCH(INDEX(T2_GroupSKU!$C:$C,MATCH(B277,T2_GroupSKU!$A:$A,0)),T1_ProductType!$A:$A,0)),"")</f>
        <v>Drum</v>
      </c>
      <c r="F277" s="10" t="str">
        <f t="array" ref="F277">IFERROR(INDEX(T1_ProductType!$D:$D,MATCH(INDEX(T2_GroupSKU!$C:$C,MATCH(B277,T2_GroupSKU!$A:$A,0)),T1_ProductType!$A:$A,0)),"")</f>
        <v>Plastic Barrels</v>
      </c>
      <c r="G277" s="10" t="str">
        <f t="array" ref="G277">IFERROR(IF(INDEX(T1_ProductType!$E:$E,MATCH(INDEX(T2_GroupSKU!$C:$C,MATCH(B277,T2_GroupSKU!$A:$A,0)),T1_ProductType!$A:$A,0))="","-",INDEX(T1_ProductType!$E:$E,MATCH(INDEX(T2_GroupSKU!$C:$C,MATCH(B277,T2_GroupSKU!$A:$A,0)),T1_ProductType!$A:$A,0))),"-")</f>
        <v>Tight Head Drum</v>
      </c>
      <c r="H277" s="10">
        <f t="array" ref="H277">IFERROR(IF(INDEX(T2_GroupSKU!$D:$D,MATCH(B277,T2_GroupSKU!$A:$A,0))="","-",INDEX(T2_GroupSKU!$D:$D,MATCH(B277,T2_GroupSKU!$A:$A,0))),"-")</f>
        <v>210</v>
      </c>
      <c r="I277" s="10" t="str">
        <f t="array" ref="I277">IFERROR(IF(INDEX(T2_GroupSKU!$E:$E,MATCH(B277,T2_GroupSKU!$A:$A,0))="","-",INDEX(T2_GroupSKU!$E:$E,MATCH(B277,T2_GroupSKU!$A:$A,0))),"-")</f>
        <v>LTR</v>
      </c>
      <c r="J277" s="10" t="str">
        <f>T3_SKU!C277</f>
        <v>Blue / 8.6 KG</v>
      </c>
      <c r="K277" s="10" t="str">
        <f>T3_SKU!D277</f>
        <v>210 LTR BLUE N/M 8.6 KG</v>
      </c>
      <c r="L277" s="10" t="str">
        <f>T3_SKU!E277</f>
        <v>NOS</v>
      </c>
      <c r="M277" s="10" t="str">
        <f>T3_SKU!F277</f>
        <v>39233090</v>
      </c>
    </row>
    <row r="278" ht="15.0" customHeight="1">
      <c r="A278" s="10" t="str">
        <f>T3_SKU!A278</f>
        <v>NMD-210-BLU-90KG</v>
      </c>
      <c r="B278" s="10" t="str">
        <f>T3_SKU!B278</f>
        <v>NMD-210</v>
      </c>
      <c r="C278" s="10" t="str">
        <f t="array" ref="C278">IFERROR(INDEX(T2_GroupSKU!$B:$B,MATCH(B278,T2_GroupSKU!$A:$A,0)),"")</f>
        <v>Narrow Mouth Drum - 210.0 LTR</v>
      </c>
      <c r="D278" s="10" t="str">
        <f t="array" ref="D278">IFERROR(INDEX(T1_ProductType!$B:$B,MATCH(INDEX(T2_GroupSKU!$C:$C,MATCH(B278,T2_GroupSKU!$A:$A,0)),T1_ProductType!$A:$A,0)),"")</f>
        <v>Narrow Mouth Drum</v>
      </c>
      <c r="E278" s="10" t="str">
        <f t="array" ref="E278">IFERROR(INDEX(T1_ProductType!$C:$C,MATCH(INDEX(T2_GroupSKU!$C:$C,MATCH(B278,T2_GroupSKU!$A:$A,0)),T1_ProductType!$A:$A,0)),"")</f>
        <v>Drum</v>
      </c>
      <c r="F278" s="10" t="str">
        <f t="array" ref="F278">IFERROR(INDEX(T1_ProductType!$D:$D,MATCH(INDEX(T2_GroupSKU!$C:$C,MATCH(B278,T2_GroupSKU!$A:$A,0)),T1_ProductType!$A:$A,0)),"")</f>
        <v>Plastic Barrels</v>
      </c>
      <c r="G278" s="10" t="str">
        <f t="array" ref="G278">IFERROR(IF(INDEX(T1_ProductType!$E:$E,MATCH(INDEX(T2_GroupSKU!$C:$C,MATCH(B278,T2_GroupSKU!$A:$A,0)),T1_ProductType!$A:$A,0))="","-",INDEX(T1_ProductType!$E:$E,MATCH(INDEX(T2_GroupSKU!$C:$C,MATCH(B278,T2_GroupSKU!$A:$A,0)),T1_ProductType!$A:$A,0))),"-")</f>
        <v>Tight Head Drum</v>
      </c>
      <c r="H278" s="10">
        <f t="array" ref="H278">IFERROR(IF(INDEX(T2_GroupSKU!$D:$D,MATCH(B278,T2_GroupSKU!$A:$A,0))="","-",INDEX(T2_GroupSKU!$D:$D,MATCH(B278,T2_GroupSKU!$A:$A,0))),"-")</f>
        <v>210</v>
      </c>
      <c r="I278" s="10" t="str">
        <f t="array" ref="I278">IFERROR(IF(INDEX(T2_GroupSKU!$E:$E,MATCH(B278,T2_GroupSKU!$A:$A,0))="","-",INDEX(T2_GroupSKU!$E:$E,MATCH(B278,T2_GroupSKU!$A:$A,0))),"-")</f>
        <v>LTR</v>
      </c>
      <c r="J278" s="10" t="str">
        <f>T3_SKU!C278</f>
        <v>Blue / 9.0 KG</v>
      </c>
      <c r="K278" s="10" t="str">
        <f>T3_SKU!D278</f>
        <v>210 LTR BLUE N/M 9.0 KG</v>
      </c>
      <c r="L278" s="10" t="str">
        <f>T3_SKU!E278</f>
        <v>NOS</v>
      </c>
      <c r="M278" s="10" t="str">
        <f>T3_SKU!F278</f>
        <v>39233090</v>
      </c>
    </row>
    <row r="279" ht="15.0" customHeight="1">
      <c r="A279" s="10" t="str">
        <f>T3_SKU!A279</f>
        <v>NMD-210-BLU-92KG</v>
      </c>
      <c r="B279" s="10" t="str">
        <f>T3_SKU!B279</f>
        <v>NMD-210</v>
      </c>
      <c r="C279" s="10" t="str">
        <f t="array" ref="C279">IFERROR(INDEX(T2_GroupSKU!$B:$B,MATCH(B279,T2_GroupSKU!$A:$A,0)),"")</f>
        <v>Narrow Mouth Drum - 210.0 LTR</v>
      </c>
      <c r="D279" s="10" t="str">
        <f t="array" ref="D279">IFERROR(INDEX(T1_ProductType!$B:$B,MATCH(INDEX(T2_GroupSKU!$C:$C,MATCH(B279,T2_GroupSKU!$A:$A,0)),T1_ProductType!$A:$A,0)),"")</f>
        <v>Narrow Mouth Drum</v>
      </c>
      <c r="E279" s="10" t="str">
        <f t="array" ref="E279">IFERROR(INDEX(T1_ProductType!$C:$C,MATCH(INDEX(T2_GroupSKU!$C:$C,MATCH(B279,T2_GroupSKU!$A:$A,0)),T1_ProductType!$A:$A,0)),"")</f>
        <v>Drum</v>
      </c>
      <c r="F279" s="10" t="str">
        <f t="array" ref="F279">IFERROR(INDEX(T1_ProductType!$D:$D,MATCH(INDEX(T2_GroupSKU!$C:$C,MATCH(B279,T2_GroupSKU!$A:$A,0)),T1_ProductType!$A:$A,0)),"")</f>
        <v>Plastic Barrels</v>
      </c>
      <c r="G279" s="10" t="str">
        <f t="array" ref="G279">IFERROR(IF(INDEX(T1_ProductType!$E:$E,MATCH(INDEX(T2_GroupSKU!$C:$C,MATCH(B279,T2_GroupSKU!$A:$A,0)),T1_ProductType!$A:$A,0))="","-",INDEX(T1_ProductType!$E:$E,MATCH(INDEX(T2_GroupSKU!$C:$C,MATCH(B279,T2_GroupSKU!$A:$A,0)),T1_ProductType!$A:$A,0))),"-")</f>
        <v>Tight Head Drum</v>
      </c>
      <c r="H279" s="10">
        <f t="array" ref="H279">IFERROR(IF(INDEX(T2_GroupSKU!$D:$D,MATCH(B279,T2_GroupSKU!$A:$A,0))="","-",INDEX(T2_GroupSKU!$D:$D,MATCH(B279,T2_GroupSKU!$A:$A,0))),"-")</f>
        <v>210</v>
      </c>
      <c r="I279" s="10" t="str">
        <f t="array" ref="I279">IFERROR(IF(INDEX(T2_GroupSKU!$E:$E,MATCH(B279,T2_GroupSKU!$A:$A,0))="","-",INDEX(T2_GroupSKU!$E:$E,MATCH(B279,T2_GroupSKU!$A:$A,0))),"-")</f>
        <v>LTR</v>
      </c>
      <c r="J279" s="10" t="str">
        <f>T3_SKU!C279</f>
        <v>Blue / 9.2 KG</v>
      </c>
      <c r="K279" s="10" t="str">
        <f>T3_SKU!D279</f>
        <v>210 LTR BLUE N/M 9.2 KG</v>
      </c>
      <c r="L279" s="10" t="str">
        <f>T3_SKU!E279</f>
        <v>NOS</v>
      </c>
      <c r="M279" s="10" t="str">
        <f>T3_SKU!F279</f>
        <v>39233090</v>
      </c>
    </row>
    <row r="280" ht="15.0" customHeight="1">
      <c r="A280" s="10" t="str">
        <f>T3_SKU!A280</f>
        <v>NMD-210-BLU-94KG</v>
      </c>
      <c r="B280" s="10" t="str">
        <f>T3_SKU!B280</f>
        <v>NMD-210</v>
      </c>
      <c r="C280" s="10" t="str">
        <f t="array" ref="C280">IFERROR(INDEX(T2_GroupSKU!$B:$B,MATCH(B280,T2_GroupSKU!$A:$A,0)),"")</f>
        <v>Narrow Mouth Drum - 210.0 LTR</v>
      </c>
      <c r="D280" s="10" t="str">
        <f t="array" ref="D280">IFERROR(INDEX(T1_ProductType!$B:$B,MATCH(INDEX(T2_GroupSKU!$C:$C,MATCH(B280,T2_GroupSKU!$A:$A,0)),T1_ProductType!$A:$A,0)),"")</f>
        <v>Narrow Mouth Drum</v>
      </c>
      <c r="E280" s="10" t="str">
        <f t="array" ref="E280">IFERROR(INDEX(T1_ProductType!$C:$C,MATCH(INDEX(T2_GroupSKU!$C:$C,MATCH(B280,T2_GroupSKU!$A:$A,0)),T1_ProductType!$A:$A,0)),"")</f>
        <v>Drum</v>
      </c>
      <c r="F280" s="10" t="str">
        <f t="array" ref="F280">IFERROR(INDEX(T1_ProductType!$D:$D,MATCH(INDEX(T2_GroupSKU!$C:$C,MATCH(B280,T2_GroupSKU!$A:$A,0)),T1_ProductType!$A:$A,0)),"")</f>
        <v>Plastic Barrels</v>
      </c>
      <c r="G280" s="10" t="str">
        <f t="array" ref="G280">IFERROR(IF(INDEX(T1_ProductType!$E:$E,MATCH(INDEX(T2_GroupSKU!$C:$C,MATCH(B280,T2_GroupSKU!$A:$A,0)),T1_ProductType!$A:$A,0))="","-",INDEX(T1_ProductType!$E:$E,MATCH(INDEX(T2_GroupSKU!$C:$C,MATCH(B280,T2_GroupSKU!$A:$A,0)),T1_ProductType!$A:$A,0))),"-")</f>
        <v>Tight Head Drum</v>
      </c>
      <c r="H280" s="10">
        <f t="array" ref="H280">IFERROR(IF(INDEX(T2_GroupSKU!$D:$D,MATCH(B280,T2_GroupSKU!$A:$A,0))="","-",INDEX(T2_GroupSKU!$D:$D,MATCH(B280,T2_GroupSKU!$A:$A,0))),"-")</f>
        <v>210</v>
      </c>
      <c r="I280" s="10" t="str">
        <f t="array" ref="I280">IFERROR(IF(INDEX(T2_GroupSKU!$E:$E,MATCH(B280,T2_GroupSKU!$A:$A,0))="","-",INDEX(T2_GroupSKU!$E:$E,MATCH(B280,T2_GroupSKU!$A:$A,0))),"-")</f>
        <v>LTR</v>
      </c>
      <c r="J280" s="10" t="str">
        <f>T3_SKU!C280</f>
        <v>Blue / 9.4 KG</v>
      </c>
      <c r="K280" s="10" t="str">
        <f>T3_SKU!D280</f>
        <v>210 LTR BLUE N/M 9.4 KG</v>
      </c>
      <c r="L280" s="10" t="str">
        <f>T3_SKU!E280</f>
        <v>NOS</v>
      </c>
      <c r="M280" s="10" t="str">
        <f>T3_SKU!F280</f>
        <v>39233090</v>
      </c>
    </row>
    <row r="281" ht="15.0" customHeight="1">
      <c r="A281" s="10" t="str">
        <f>T3_SKU!A281</f>
        <v>NMD-210-BLU-95KG</v>
      </c>
      <c r="B281" s="10" t="str">
        <f>T3_SKU!B281</f>
        <v>NMD-210</v>
      </c>
      <c r="C281" s="10" t="str">
        <f t="array" ref="C281">IFERROR(INDEX(T2_GroupSKU!$B:$B,MATCH(B281,T2_GroupSKU!$A:$A,0)),"")</f>
        <v>Narrow Mouth Drum - 210.0 LTR</v>
      </c>
      <c r="D281" s="10" t="str">
        <f t="array" ref="D281">IFERROR(INDEX(T1_ProductType!$B:$B,MATCH(INDEX(T2_GroupSKU!$C:$C,MATCH(B281,T2_GroupSKU!$A:$A,0)),T1_ProductType!$A:$A,0)),"")</f>
        <v>Narrow Mouth Drum</v>
      </c>
      <c r="E281" s="10" t="str">
        <f t="array" ref="E281">IFERROR(INDEX(T1_ProductType!$C:$C,MATCH(INDEX(T2_GroupSKU!$C:$C,MATCH(B281,T2_GroupSKU!$A:$A,0)),T1_ProductType!$A:$A,0)),"")</f>
        <v>Drum</v>
      </c>
      <c r="F281" s="10" t="str">
        <f t="array" ref="F281">IFERROR(INDEX(T1_ProductType!$D:$D,MATCH(INDEX(T2_GroupSKU!$C:$C,MATCH(B281,T2_GroupSKU!$A:$A,0)),T1_ProductType!$A:$A,0)),"")</f>
        <v>Plastic Barrels</v>
      </c>
      <c r="G281" s="10" t="str">
        <f t="array" ref="G281">IFERROR(IF(INDEX(T1_ProductType!$E:$E,MATCH(INDEX(T2_GroupSKU!$C:$C,MATCH(B281,T2_GroupSKU!$A:$A,0)),T1_ProductType!$A:$A,0))="","-",INDEX(T1_ProductType!$E:$E,MATCH(INDEX(T2_GroupSKU!$C:$C,MATCH(B281,T2_GroupSKU!$A:$A,0)),T1_ProductType!$A:$A,0))),"-")</f>
        <v>Tight Head Drum</v>
      </c>
      <c r="H281" s="10">
        <f t="array" ref="H281">IFERROR(IF(INDEX(T2_GroupSKU!$D:$D,MATCH(B281,T2_GroupSKU!$A:$A,0))="","-",INDEX(T2_GroupSKU!$D:$D,MATCH(B281,T2_GroupSKU!$A:$A,0))),"-")</f>
        <v>210</v>
      </c>
      <c r="I281" s="10" t="str">
        <f t="array" ref="I281">IFERROR(IF(INDEX(T2_GroupSKU!$E:$E,MATCH(B281,T2_GroupSKU!$A:$A,0))="","-",INDEX(T2_GroupSKU!$E:$E,MATCH(B281,T2_GroupSKU!$A:$A,0))),"-")</f>
        <v>LTR</v>
      </c>
      <c r="J281" s="10" t="str">
        <f>T3_SKU!C281</f>
        <v>Blue / 9.5 KG</v>
      </c>
      <c r="K281" s="10" t="str">
        <f>T3_SKU!D281</f>
        <v>210 LTR BLUE N/M 9.5 KG</v>
      </c>
      <c r="L281" s="10" t="str">
        <f>T3_SKU!E281</f>
        <v>NOS</v>
      </c>
      <c r="M281" s="10" t="str">
        <f>T3_SKU!F281</f>
        <v>39233090</v>
      </c>
    </row>
    <row r="282" ht="15.0" customHeight="1">
      <c r="A282" s="10" t="str">
        <f>T3_SKU!A282</f>
        <v>NMD-210-BLU-96KG</v>
      </c>
      <c r="B282" s="10" t="str">
        <f>T3_SKU!B282</f>
        <v>NMD-210</v>
      </c>
      <c r="C282" s="10" t="str">
        <f t="array" ref="C282">IFERROR(INDEX(T2_GroupSKU!$B:$B,MATCH(B282,T2_GroupSKU!$A:$A,0)),"")</f>
        <v>Narrow Mouth Drum - 210.0 LTR</v>
      </c>
      <c r="D282" s="10" t="str">
        <f t="array" ref="D282">IFERROR(INDEX(T1_ProductType!$B:$B,MATCH(INDEX(T2_GroupSKU!$C:$C,MATCH(B282,T2_GroupSKU!$A:$A,0)),T1_ProductType!$A:$A,0)),"")</f>
        <v>Narrow Mouth Drum</v>
      </c>
      <c r="E282" s="10" t="str">
        <f t="array" ref="E282">IFERROR(INDEX(T1_ProductType!$C:$C,MATCH(INDEX(T2_GroupSKU!$C:$C,MATCH(B282,T2_GroupSKU!$A:$A,0)),T1_ProductType!$A:$A,0)),"")</f>
        <v>Drum</v>
      </c>
      <c r="F282" s="10" t="str">
        <f t="array" ref="F282">IFERROR(INDEX(T1_ProductType!$D:$D,MATCH(INDEX(T2_GroupSKU!$C:$C,MATCH(B282,T2_GroupSKU!$A:$A,0)),T1_ProductType!$A:$A,0)),"")</f>
        <v>Plastic Barrels</v>
      </c>
      <c r="G282" s="10" t="str">
        <f t="array" ref="G282">IFERROR(IF(INDEX(T1_ProductType!$E:$E,MATCH(INDEX(T2_GroupSKU!$C:$C,MATCH(B282,T2_GroupSKU!$A:$A,0)),T1_ProductType!$A:$A,0))="","-",INDEX(T1_ProductType!$E:$E,MATCH(INDEX(T2_GroupSKU!$C:$C,MATCH(B282,T2_GroupSKU!$A:$A,0)),T1_ProductType!$A:$A,0))),"-")</f>
        <v>Tight Head Drum</v>
      </c>
      <c r="H282" s="10">
        <f t="array" ref="H282">IFERROR(IF(INDEX(T2_GroupSKU!$D:$D,MATCH(B282,T2_GroupSKU!$A:$A,0))="","-",INDEX(T2_GroupSKU!$D:$D,MATCH(B282,T2_GroupSKU!$A:$A,0))),"-")</f>
        <v>210</v>
      </c>
      <c r="I282" s="10" t="str">
        <f t="array" ref="I282">IFERROR(IF(INDEX(T2_GroupSKU!$E:$E,MATCH(B282,T2_GroupSKU!$A:$A,0))="","-",INDEX(T2_GroupSKU!$E:$E,MATCH(B282,T2_GroupSKU!$A:$A,0))),"-")</f>
        <v>LTR</v>
      </c>
      <c r="J282" s="10" t="str">
        <f>T3_SKU!C282</f>
        <v>Blue / 9.6 KG</v>
      </c>
      <c r="K282" s="10" t="str">
        <f>T3_SKU!D282</f>
        <v>210 LTR BLUE N/M 9.6 KG</v>
      </c>
      <c r="L282" s="10" t="str">
        <f>T3_SKU!E282</f>
        <v>NOS</v>
      </c>
      <c r="M282" s="10" t="str">
        <f>T3_SKU!F282</f>
        <v>39233090</v>
      </c>
    </row>
    <row r="283" ht="15.0" customHeight="1">
      <c r="A283" s="10" t="str">
        <f>T3_SKU!A283</f>
        <v>NMD-210-GRN-100KG</v>
      </c>
      <c r="B283" s="10" t="str">
        <f>T3_SKU!B283</f>
        <v>NMD-210</v>
      </c>
      <c r="C283" s="10" t="str">
        <f t="array" ref="C283">IFERROR(INDEX(T2_GroupSKU!$B:$B,MATCH(B283,T2_GroupSKU!$A:$A,0)),"")</f>
        <v>Narrow Mouth Drum - 210.0 LTR</v>
      </c>
      <c r="D283" s="10" t="str">
        <f t="array" ref="D283">IFERROR(INDEX(T1_ProductType!$B:$B,MATCH(INDEX(T2_GroupSKU!$C:$C,MATCH(B283,T2_GroupSKU!$A:$A,0)),T1_ProductType!$A:$A,0)),"")</f>
        <v>Narrow Mouth Drum</v>
      </c>
      <c r="E283" s="10" t="str">
        <f t="array" ref="E283">IFERROR(INDEX(T1_ProductType!$C:$C,MATCH(INDEX(T2_GroupSKU!$C:$C,MATCH(B283,T2_GroupSKU!$A:$A,0)),T1_ProductType!$A:$A,0)),"")</f>
        <v>Drum</v>
      </c>
      <c r="F283" s="10" t="str">
        <f t="array" ref="F283">IFERROR(INDEX(T1_ProductType!$D:$D,MATCH(INDEX(T2_GroupSKU!$C:$C,MATCH(B283,T2_GroupSKU!$A:$A,0)),T1_ProductType!$A:$A,0)),"")</f>
        <v>Plastic Barrels</v>
      </c>
      <c r="G283" s="10" t="str">
        <f t="array" ref="G283">IFERROR(IF(INDEX(T1_ProductType!$E:$E,MATCH(INDEX(T2_GroupSKU!$C:$C,MATCH(B283,T2_GroupSKU!$A:$A,0)),T1_ProductType!$A:$A,0))="","-",INDEX(T1_ProductType!$E:$E,MATCH(INDEX(T2_GroupSKU!$C:$C,MATCH(B283,T2_GroupSKU!$A:$A,0)),T1_ProductType!$A:$A,0))),"-")</f>
        <v>Tight Head Drum</v>
      </c>
      <c r="H283" s="10">
        <f t="array" ref="H283">IFERROR(IF(INDEX(T2_GroupSKU!$D:$D,MATCH(B283,T2_GroupSKU!$A:$A,0))="","-",INDEX(T2_GroupSKU!$D:$D,MATCH(B283,T2_GroupSKU!$A:$A,0))),"-")</f>
        <v>210</v>
      </c>
      <c r="I283" s="10" t="str">
        <f t="array" ref="I283">IFERROR(IF(INDEX(T2_GroupSKU!$E:$E,MATCH(B283,T2_GroupSKU!$A:$A,0))="","-",INDEX(T2_GroupSKU!$E:$E,MATCH(B283,T2_GroupSKU!$A:$A,0))),"-")</f>
        <v>LTR</v>
      </c>
      <c r="J283" s="10" t="str">
        <f>T3_SKU!C283</f>
        <v>Green / 10.0 KG</v>
      </c>
      <c r="K283" s="10" t="str">
        <f>T3_SKU!D283</f>
        <v>210 LTR GREEN N/M 10.0 KG</v>
      </c>
      <c r="L283" s="10" t="str">
        <f>T3_SKU!E283</f>
        <v>NOS</v>
      </c>
      <c r="M283" s="10" t="str">
        <f>T3_SKU!F283</f>
        <v>39233090</v>
      </c>
    </row>
    <row r="284" ht="15.0" customHeight="1">
      <c r="A284" s="10" t="str">
        <f>T3_SKU!A284</f>
        <v>NMD-210-GRN-106KG</v>
      </c>
      <c r="B284" s="10" t="str">
        <f>T3_SKU!B284</f>
        <v>NMD-210</v>
      </c>
      <c r="C284" s="10" t="str">
        <f t="array" ref="C284">IFERROR(INDEX(T2_GroupSKU!$B:$B,MATCH(B284,T2_GroupSKU!$A:$A,0)),"")</f>
        <v>Narrow Mouth Drum - 210.0 LTR</v>
      </c>
      <c r="D284" s="10" t="str">
        <f t="array" ref="D284">IFERROR(INDEX(T1_ProductType!$B:$B,MATCH(INDEX(T2_GroupSKU!$C:$C,MATCH(B284,T2_GroupSKU!$A:$A,0)),T1_ProductType!$A:$A,0)),"")</f>
        <v>Narrow Mouth Drum</v>
      </c>
      <c r="E284" s="10" t="str">
        <f t="array" ref="E284">IFERROR(INDEX(T1_ProductType!$C:$C,MATCH(INDEX(T2_GroupSKU!$C:$C,MATCH(B284,T2_GroupSKU!$A:$A,0)),T1_ProductType!$A:$A,0)),"")</f>
        <v>Drum</v>
      </c>
      <c r="F284" s="10" t="str">
        <f t="array" ref="F284">IFERROR(INDEX(T1_ProductType!$D:$D,MATCH(INDEX(T2_GroupSKU!$C:$C,MATCH(B284,T2_GroupSKU!$A:$A,0)),T1_ProductType!$A:$A,0)),"")</f>
        <v>Plastic Barrels</v>
      </c>
      <c r="G284" s="10" t="str">
        <f t="array" ref="G284">IFERROR(IF(INDEX(T1_ProductType!$E:$E,MATCH(INDEX(T2_GroupSKU!$C:$C,MATCH(B284,T2_GroupSKU!$A:$A,0)),T1_ProductType!$A:$A,0))="","-",INDEX(T1_ProductType!$E:$E,MATCH(INDEX(T2_GroupSKU!$C:$C,MATCH(B284,T2_GroupSKU!$A:$A,0)),T1_ProductType!$A:$A,0))),"-")</f>
        <v>Tight Head Drum</v>
      </c>
      <c r="H284" s="10">
        <f t="array" ref="H284">IFERROR(IF(INDEX(T2_GroupSKU!$D:$D,MATCH(B284,T2_GroupSKU!$A:$A,0))="","-",INDEX(T2_GroupSKU!$D:$D,MATCH(B284,T2_GroupSKU!$A:$A,0))),"-")</f>
        <v>210</v>
      </c>
      <c r="I284" s="10" t="str">
        <f t="array" ref="I284">IFERROR(IF(INDEX(T2_GroupSKU!$E:$E,MATCH(B284,T2_GroupSKU!$A:$A,0))="","-",INDEX(T2_GroupSKU!$E:$E,MATCH(B284,T2_GroupSKU!$A:$A,0))),"-")</f>
        <v>LTR</v>
      </c>
      <c r="J284" s="10" t="str">
        <f>T3_SKU!C284</f>
        <v>Green / 10.6 KG</v>
      </c>
      <c r="K284" s="10" t="str">
        <f>T3_SKU!D284</f>
        <v>210 LTR GREEN N/M 10.6 KG</v>
      </c>
      <c r="L284" s="10" t="str">
        <f>T3_SKU!E284</f>
        <v>NOS</v>
      </c>
      <c r="M284" s="10" t="str">
        <f>T3_SKU!F284</f>
        <v>39233090</v>
      </c>
    </row>
    <row r="285" ht="15.0" customHeight="1">
      <c r="A285" s="10" t="str">
        <f>T3_SKU!A285</f>
        <v>NMD-210-GRN-78KG</v>
      </c>
      <c r="B285" s="10" t="str">
        <f>T3_SKU!B285</f>
        <v>NMD-210</v>
      </c>
      <c r="C285" s="10" t="str">
        <f t="array" ref="C285">IFERROR(INDEX(T2_GroupSKU!$B:$B,MATCH(B285,T2_GroupSKU!$A:$A,0)),"")</f>
        <v>Narrow Mouth Drum - 210.0 LTR</v>
      </c>
      <c r="D285" s="10" t="str">
        <f t="array" ref="D285">IFERROR(INDEX(T1_ProductType!$B:$B,MATCH(INDEX(T2_GroupSKU!$C:$C,MATCH(B285,T2_GroupSKU!$A:$A,0)),T1_ProductType!$A:$A,0)),"")</f>
        <v>Narrow Mouth Drum</v>
      </c>
      <c r="E285" s="10" t="str">
        <f t="array" ref="E285">IFERROR(INDEX(T1_ProductType!$C:$C,MATCH(INDEX(T2_GroupSKU!$C:$C,MATCH(B285,T2_GroupSKU!$A:$A,0)),T1_ProductType!$A:$A,0)),"")</f>
        <v>Drum</v>
      </c>
      <c r="F285" s="10" t="str">
        <f t="array" ref="F285">IFERROR(INDEX(T1_ProductType!$D:$D,MATCH(INDEX(T2_GroupSKU!$C:$C,MATCH(B285,T2_GroupSKU!$A:$A,0)),T1_ProductType!$A:$A,0)),"")</f>
        <v>Plastic Barrels</v>
      </c>
      <c r="G285" s="10" t="str">
        <f t="array" ref="G285">IFERROR(IF(INDEX(T1_ProductType!$E:$E,MATCH(INDEX(T2_GroupSKU!$C:$C,MATCH(B285,T2_GroupSKU!$A:$A,0)),T1_ProductType!$A:$A,0))="","-",INDEX(T1_ProductType!$E:$E,MATCH(INDEX(T2_GroupSKU!$C:$C,MATCH(B285,T2_GroupSKU!$A:$A,0)),T1_ProductType!$A:$A,0))),"-")</f>
        <v>Tight Head Drum</v>
      </c>
      <c r="H285" s="10">
        <f t="array" ref="H285">IFERROR(IF(INDEX(T2_GroupSKU!$D:$D,MATCH(B285,T2_GroupSKU!$A:$A,0))="","-",INDEX(T2_GroupSKU!$D:$D,MATCH(B285,T2_GroupSKU!$A:$A,0))),"-")</f>
        <v>210</v>
      </c>
      <c r="I285" s="10" t="str">
        <f t="array" ref="I285">IFERROR(IF(INDEX(T2_GroupSKU!$E:$E,MATCH(B285,T2_GroupSKU!$A:$A,0))="","-",INDEX(T2_GroupSKU!$E:$E,MATCH(B285,T2_GroupSKU!$A:$A,0))),"-")</f>
        <v>LTR</v>
      </c>
      <c r="J285" s="10" t="str">
        <f>T3_SKU!C285</f>
        <v>Green / 7.8 KG</v>
      </c>
      <c r="K285" s="10" t="str">
        <f>T3_SKU!D285</f>
        <v>210 LTR GREEN N/M 7.8 KG</v>
      </c>
      <c r="L285" s="10" t="str">
        <f>T3_SKU!E285</f>
        <v>NOS</v>
      </c>
      <c r="M285" s="10" t="str">
        <f>T3_SKU!F285</f>
        <v>39233090</v>
      </c>
    </row>
    <row r="286" ht="15.0" customHeight="1">
      <c r="A286" s="10" t="str">
        <f>T3_SKU!A286</f>
        <v>NMD-210-GRN-795KG</v>
      </c>
      <c r="B286" s="10" t="str">
        <f>T3_SKU!B286</f>
        <v>NMD-210</v>
      </c>
      <c r="C286" s="10" t="str">
        <f t="array" ref="C286">IFERROR(INDEX(T2_GroupSKU!$B:$B,MATCH(B286,T2_GroupSKU!$A:$A,0)),"")</f>
        <v>Narrow Mouth Drum - 210.0 LTR</v>
      </c>
      <c r="D286" s="10" t="str">
        <f t="array" ref="D286">IFERROR(INDEX(T1_ProductType!$B:$B,MATCH(INDEX(T2_GroupSKU!$C:$C,MATCH(B286,T2_GroupSKU!$A:$A,0)),T1_ProductType!$A:$A,0)),"")</f>
        <v>Narrow Mouth Drum</v>
      </c>
      <c r="E286" s="10" t="str">
        <f t="array" ref="E286">IFERROR(INDEX(T1_ProductType!$C:$C,MATCH(INDEX(T2_GroupSKU!$C:$C,MATCH(B286,T2_GroupSKU!$A:$A,0)),T1_ProductType!$A:$A,0)),"")</f>
        <v>Drum</v>
      </c>
      <c r="F286" s="10" t="str">
        <f t="array" ref="F286">IFERROR(INDEX(T1_ProductType!$D:$D,MATCH(INDEX(T2_GroupSKU!$C:$C,MATCH(B286,T2_GroupSKU!$A:$A,0)),T1_ProductType!$A:$A,0)),"")</f>
        <v>Plastic Barrels</v>
      </c>
      <c r="G286" s="10" t="str">
        <f t="array" ref="G286">IFERROR(IF(INDEX(T1_ProductType!$E:$E,MATCH(INDEX(T2_GroupSKU!$C:$C,MATCH(B286,T2_GroupSKU!$A:$A,0)),T1_ProductType!$A:$A,0))="","-",INDEX(T1_ProductType!$E:$E,MATCH(INDEX(T2_GroupSKU!$C:$C,MATCH(B286,T2_GroupSKU!$A:$A,0)),T1_ProductType!$A:$A,0))),"-")</f>
        <v>Tight Head Drum</v>
      </c>
      <c r="H286" s="10">
        <f t="array" ref="H286">IFERROR(IF(INDEX(T2_GroupSKU!$D:$D,MATCH(B286,T2_GroupSKU!$A:$A,0))="","-",INDEX(T2_GroupSKU!$D:$D,MATCH(B286,T2_GroupSKU!$A:$A,0))),"-")</f>
        <v>210</v>
      </c>
      <c r="I286" s="10" t="str">
        <f t="array" ref="I286">IFERROR(IF(INDEX(T2_GroupSKU!$E:$E,MATCH(B286,T2_GroupSKU!$A:$A,0))="","-",INDEX(T2_GroupSKU!$E:$E,MATCH(B286,T2_GroupSKU!$A:$A,0))),"-")</f>
        <v>LTR</v>
      </c>
      <c r="J286" s="10" t="str">
        <f>T3_SKU!C286</f>
        <v>Green / 7.95 KG</v>
      </c>
      <c r="K286" s="10" t="str">
        <f>T3_SKU!D286</f>
        <v>210 LTR GREEN N/M 7.95 KG</v>
      </c>
      <c r="L286" s="10" t="str">
        <f>T3_SKU!E286</f>
        <v>NOS</v>
      </c>
      <c r="M286" s="10" t="str">
        <f>T3_SKU!F286</f>
        <v>39233090</v>
      </c>
    </row>
    <row r="287" ht="15.0" customHeight="1">
      <c r="A287" s="10" t="str">
        <f>T3_SKU!A287</f>
        <v>NMD-210-GRN-80KG</v>
      </c>
      <c r="B287" s="10" t="str">
        <f>T3_SKU!B287</f>
        <v>NMD-210</v>
      </c>
      <c r="C287" s="10" t="str">
        <f t="array" ref="C287">IFERROR(INDEX(T2_GroupSKU!$B:$B,MATCH(B287,T2_GroupSKU!$A:$A,0)),"")</f>
        <v>Narrow Mouth Drum - 210.0 LTR</v>
      </c>
      <c r="D287" s="10" t="str">
        <f t="array" ref="D287">IFERROR(INDEX(T1_ProductType!$B:$B,MATCH(INDEX(T2_GroupSKU!$C:$C,MATCH(B287,T2_GroupSKU!$A:$A,0)),T1_ProductType!$A:$A,0)),"")</f>
        <v>Narrow Mouth Drum</v>
      </c>
      <c r="E287" s="10" t="str">
        <f t="array" ref="E287">IFERROR(INDEX(T1_ProductType!$C:$C,MATCH(INDEX(T2_GroupSKU!$C:$C,MATCH(B287,T2_GroupSKU!$A:$A,0)),T1_ProductType!$A:$A,0)),"")</f>
        <v>Drum</v>
      </c>
      <c r="F287" s="10" t="str">
        <f t="array" ref="F287">IFERROR(INDEX(T1_ProductType!$D:$D,MATCH(INDEX(T2_GroupSKU!$C:$C,MATCH(B287,T2_GroupSKU!$A:$A,0)),T1_ProductType!$A:$A,0)),"")</f>
        <v>Plastic Barrels</v>
      </c>
      <c r="G287" s="10" t="str">
        <f t="array" ref="G287">IFERROR(IF(INDEX(T1_ProductType!$E:$E,MATCH(INDEX(T2_GroupSKU!$C:$C,MATCH(B287,T2_GroupSKU!$A:$A,0)),T1_ProductType!$A:$A,0))="","-",INDEX(T1_ProductType!$E:$E,MATCH(INDEX(T2_GroupSKU!$C:$C,MATCH(B287,T2_GroupSKU!$A:$A,0)),T1_ProductType!$A:$A,0))),"-")</f>
        <v>Tight Head Drum</v>
      </c>
      <c r="H287" s="10">
        <f t="array" ref="H287">IFERROR(IF(INDEX(T2_GroupSKU!$D:$D,MATCH(B287,T2_GroupSKU!$A:$A,0))="","-",INDEX(T2_GroupSKU!$D:$D,MATCH(B287,T2_GroupSKU!$A:$A,0))),"-")</f>
        <v>210</v>
      </c>
      <c r="I287" s="10" t="str">
        <f t="array" ref="I287">IFERROR(IF(INDEX(T2_GroupSKU!$E:$E,MATCH(B287,T2_GroupSKU!$A:$A,0))="","-",INDEX(T2_GroupSKU!$E:$E,MATCH(B287,T2_GroupSKU!$A:$A,0))),"-")</f>
        <v>LTR</v>
      </c>
      <c r="J287" s="10" t="str">
        <f>T3_SKU!C287</f>
        <v>Green / 8.0 KG</v>
      </c>
      <c r="K287" s="10" t="str">
        <f>T3_SKU!D287</f>
        <v>210 LTR GREEN N/M 8.0 KG</v>
      </c>
      <c r="L287" s="10" t="str">
        <f>T3_SKU!E287</f>
        <v>NOS</v>
      </c>
      <c r="M287" s="10" t="str">
        <f>T3_SKU!F287</f>
        <v>39233090</v>
      </c>
    </row>
    <row r="288" ht="15.0" customHeight="1">
      <c r="A288" s="10" t="str">
        <f>T3_SKU!A288</f>
        <v>NMD-210-GRN-815KG</v>
      </c>
      <c r="B288" s="10" t="str">
        <f>T3_SKU!B288</f>
        <v>NMD-210</v>
      </c>
      <c r="C288" s="10" t="str">
        <f t="array" ref="C288">IFERROR(INDEX(T2_GroupSKU!$B:$B,MATCH(B288,T2_GroupSKU!$A:$A,0)),"")</f>
        <v>Narrow Mouth Drum - 210.0 LTR</v>
      </c>
      <c r="D288" s="10" t="str">
        <f t="array" ref="D288">IFERROR(INDEX(T1_ProductType!$B:$B,MATCH(INDEX(T2_GroupSKU!$C:$C,MATCH(B288,T2_GroupSKU!$A:$A,0)),T1_ProductType!$A:$A,0)),"")</f>
        <v>Narrow Mouth Drum</v>
      </c>
      <c r="E288" s="10" t="str">
        <f t="array" ref="E288">IFERROR(INDEX(T1_ProductType!$C:$C,MATCH(INDEX(T2_GroupSKU!$C:$C,MATCH(B288,T2_GroupSKU!$A:$A,0)),T1_ProductType!$A:$A,0)),"")</f>
        <v>Drum</v>
      </c>
      <c r="F288" s="10" t="str">
        <f t="array" ref="F288">IFERROR(INDEX(T1_ProductType!$D:$D,MATCH(INDEX(T2_GroupSKU!$C:$C,MATCH(B288,T2_GroupSKU!$A:$A,0)),T1_ProductType!$A:$A,0)),"")</f>
        <v>Plastic Barrels</v>
      </c>
      <c r="G288" s="10" t="str">
        <f t="array" ref="G288">IFERROR(IF(INDEX(T1_ProductType!$E:$E,MATCH(INDEX(T2_GroupSKU!$C:$C,MATCH(B288,T2_GroupSKU!$A:$A,0)),T1_ProductType!$A:$A,0))="","-",INDEX(T1_ProductType!$E:$E,MATCH(INDEX(T2_GroupSKU!$C:$C,MATCH(B288,T2_GroupSKU!$A:$A,0)),T1_ProductType!$A:$A,0))),"-")</f>
        <v>Tight Head Drum</v>
      </c>
      <c r="H288" s="10">
        <f t="array" ref="H288">IFERROR(IF(INDEX(T2_GroupSKU!$D:$D,MATCH(B288,T2_GroupSKU!$A:$A,0))="","-",INDEX(T2_GroupSKU!$D:$D,MATCH(B288,T2_GroupSKU!$A:$A,0))),"-")</f>
        <v>210</v>
      </c>
      <c r="I288" s="10" t="str">
        <f t="array" ref="I288">IFERROR(IF(INDEX(T2_GroupSKU!$E:$E,MATCH(B288,T2_GroupSKU!$A:$A,0))="","-",INDEX(T2_GroupSKU!$E:$E,MATCH(B288,T2_GroupSKU!$A:$A,0))),"-")</f>
        <v>LTR</v>
      </c>
      <c r="J288" s="10" t="str">
        <f>T3_SKU!C288</f>
        <v>Green / 8.15 KG</v>
      </c>
      <c r="K288" s="10" t="str">
        <f>T3_SKU!D288</f>
        <v>210 LTR GREEN N/M 8.15KG</v>
      </c>
      <c r="L288" s="10" t="str">
        <f>T3_SKU!E288</f>
        <v>NOS</v>
      </c>
      <c r="M288" s="10" t="str">
        <f>T3_SKU!F288</f>
        <v>39233090</v>
      </c>
    </row>
    <row r="289" ht="15.0" customHeight="1">
      <c r="A289" s="10" t="str">
        <f>T3_SKU!A289</f>
        <v>NMD-210-GRN-82KG</v>
      </c>
      <c r="B289" s="10" t="str">
        <f>T3_SKU!B289</f>
        <v>NMD-210</v>
      </c>
      <c r="C289" s="10" t="str">
        <f t="array" ref="C289">IFERROR(INDEX(T2_GroupSKU!$B:$B,MATCH(B289,T2_GroupSKU!$A:$A,0)),"")</f>
        <v>Narrow Mouth Drum - 210.0 LTR</v>
      </c>
      <c r="D289" s="10" t="str">
        <f t="array" ref="D289">IFERROR(INDEX(T1_ProductType!$B:$B,MATCH(INDEX(T2_GroupSKU!$C:$C,MATCH(B289,T2_GroupSKU!$A:$A,0)),T1_ProductType!$A:$A,0)),"")</f>
        <v>Narrow Mouth Drum</v>
      </c>
      <c r="E289" s="10" t="str">
        <f t="array" ref="E289">IFERROR(INDEX(T1_ProductType!$C:$C,MATCH(INDEX(T2_GroupSKU!$C:$C,MATCH(B289,T2_GroupSKU!$A:$A,0)),T1_ProductType!$A:$A,0)),"")</f>
        <v>Drum</v>
      </c>
      <c r="F289" s="10" t="str">
        <f t="array" ref="F289">IFERROR(INDEX(T1_ProductType!$D:$D,MATCH(INDEX(T2_GroupSKU!$C:$C,MATCH(B289,T2_GroupSKU!$A:$A,0)),T1_ProductType!$A:$A,0)),"")</f>
        <v>Plastic Barrels</v>
      </c>
      <c r="G289" s="10" t="str">
        <f t="array" ref="G289">IFERROR(IF(INDEX(T1_ProductType!$E:$E,MATCH(INDEX(T2_GroupSKU!$C:$C,MATCH(B289,T2_GroupSKU!$A:$A,0)),T1_ProductType!$A:$A,0))="","-",INDEX(T1_ProductType!$E:$E,MATCH(INDEX(T2_GroupSKU!$C:$C,MATCH(B289,T2_GroupSKU!$A:$A,0)),T1_ProductType!$A:$A,0))),"-")</f>
        <v>Tight Head Drum</v>
      </c>
      <c r="H289" s="10">
        <f t="array" ref="H289">IFERROR(IF(INDEX(T2_GroupSKU!$D:$D,MATCH(B289,T2_GroupSKU!$A:$A,0))="","-",INDEX(T2_GroupSKU!$D:$D,MATCH(B289,T2_GroupSKU!$A:$A,0))),"-")</f>
        <v>210</v>
      </c>
      <c r="I289" s="10" t="str">
        <f t="array" ref="I289">IFERROR(IF(INDEX(T2_GroupSKU!$E:$E,MATCH(B289,T2_GroupSKU!$A:$A,0))="","-",INDEX(T2_GroupSKU!$E:$E,MATCH(B289,T2_GroupSKU!$A:$A,0))),"-")</f>
        <v>LTR</v>
      </c>
      <c r="J289" s="10" t="str">
        <f>T3_SKU!C289</f>
        <v>Green / 8.2 KG</v>
      </c>
      <c r="K289" s="10" t="str">
        <f>T3_SKU!D289</f>
        <v>210 LTR GREEN N/M 8.2 KG</v>
      </c>
      <c r="L289" s="10" t="str">
        <f>T3_SKU!E289</f>
        <v>NOS</v>
      </c>
      <c r="M289" s="10" t="str">
        <f>T3_SKU!F289</f>
        <v>39233090</v>
      </c>
    </row>
    <row r="290" ht="15.0" customHeight="1">
      <c r="A290" s="10" t="str">
        <f>T3_SKU!A290</f>
        <v>NMD-210-GRN-85KG</v>
      </c>
      <c r="B290" s="10" t="str">
        <f>T3_SKU!B290</f>
        <v>NMD-210</v>
      </c>
      <c r="C290" s="10" t="str">
        <f t="array" ref="C290">IFERROR(INDEX(T2_GroupSKU!$B:$B,MATCH(B290,T2_GroupSKU!$A:$A,0)),"")</f>
        <v>Narrow Mouth Drum - 210.0 LTR</v>
      </c>
      <c r="D290" s="10" t="str">
        <f t="array" ref="D290">IFERROR(INDEX(T1_ProductType!$B:$B,MATCH(INDEX(T2_GroupSKU!$C:$C,MATCH(B290,T2_GroupSKU!$A:$A,0)),T1_ProductType!$A:$A,0)),"")</f>
        <v>Narrow Mouth Drum</v>
      </c>
      <c r="E290" s="10" t="str">
        <f t="array" ref="E290">IFERROR(INDEX(T1_ProductType!$C:$C,MATCH(INDEX(T2_GroupSKU!$C:$C,MATCH(B290,T2_GroupSKU!$A:$A,0)),T1_ProductType!$A:$A,0)),"")</f>
        <v>Drum</v>
      </c>
      <c r="F290" s="10" t="str">
        <f t="array" ref="F290">IFERROR(INDEX(T1_ProductType!$D:$D,MATCH(INDEX(T2_GroupSKU!$C:$C,MATCH(B290,T2_GroupSKU!$A:$A,0)),T1_ProductType!$A:$A,0)),"")</f>
        <v>Plastic Barrels</v>
      </c>
      <c r="G290" s="10" t="str">
        <f t="array" ref="G290">IFERROR(IF(INDEX(T1_ProductType!$E:$E,MATCH(INDEX(T2_GroupSKU!$C:$C,MATCH(B290,T2_GroupSKU!$A:$A,0)),T1_ProductType!$A:$A,0))="","-",INDEX(T1_ProductType!$E:$E,MATCH(INDEX(T2_GroupSKU!$C:$C,MATCH(B290,T2_GroupSKU!$A:$A,0)),T1_ProductType!$A:$A,0))),"-")</f>
        <v>Tight Head Drum</v>
      </c>
      <c r="H290" s="10">
        <f t="array" ref="H290">IFERROR(IF(INDEX(T2_GroupSKU!$D:$D,MATCH(B290,T2_GroupSKU!$A:$A,0))="","-",INDEX(T2_GroupSKU!$D:$D,MATCH(B290,T2_GroupSKU!$A:$A,0))),"-")</f>
        <v>210</v>
      </c>
      <c r="I290" s="10" t="str">
        <f t="array" ref="I290">IFERROR(IF(INDEX(T2_GroupSKU!$E:$E,MATCH(B290,T2_GroupSKU!$A:$A,0))="","-",INDEX(T2_GroupSKU!$E:$E,MATCH(B290,T2_GroupSKU!$A:$A,0))),"-")</f>
        <v>LTR</v>
      </c>
      <c r="J290" s="10" t="str">
        <f>T3_SKU!C290</f>
        <v>Green / 8.5 KG</v>
      </c>
      <c r="K290" s="10" t="str">
        <f>T3_SKU!D290</f>
        <v>210 LTR GREEN N/M 8.5 KG</v>
      </c>
      <c r="L290" s="10" t="str">
        <f>T3_SKU!E290</f>
        <v>NOS</v>
      </c>
      <c r="M290" s="10" t="str">
        <f>T3_SKU!F290</f>
        <v>39233090</v>
      </c>
    </row>
    <row r="291" ht="15.0" customHeight="1">
      <c r="A291" s="10" t="str">
        <f>T3_SKU!A291</f>
        <v>NMD-210-GRN-92KG</v>
      </c>
      <c r="B291" s="10" t="str">
        <f>T3_SKU!B291</f>
        <v>NMD-210</v>
      </c>
      <c r="C291" s="10" t="str">
        <f t="array" ref="C291">IFERROR(INDEX(T2_GroupSKU!$B:$B,MATCH(B291,T2_GroupSKU!$A:$A,0)),"")</f>
        <v>Narrow Mouth Drum - 210.0 LTR</v>
      </c>
      <c r="D291" s="10" t="str">
        <f t="array" ref="D291">IFERROR(INDEX(T1_ProductType!$B:$B,MATCH(INDEX(T2_GroupSKU!$C:$C,MATCH(B291,T2_GroupSKU!$A:$A,0)),T1_ProductType!$A:$A,0)),"")</f>
        <v>Narrow Mouth Drum</v>
      </c>
      <c r="E291" s="10" t="str">
        <f t="array" ref="E291">IFERROR(INDEX(T1_ProductType!$C:$C,MATCH(INDEX(T2_GroupSKU!$C:$C,MATCH(B291,T2_GroupSKU!$A:$A,0)),T1_ProductType!$A:$A,0)),"")</f>
        <v>Drum</v>
      </c>
      <c r="F291" s="10" t="str">
        <f t="array" ref="F291">IFERROR(INDEX(T1_ProductType!$D:$D,MATCH(INDEX(T2_GroupSKU!$C:$C,MATCH(B291,T2_GroupSKU!$A:$A,0)),T1_ProductType!$A:$A,0)),"")</f>
        <v>Plastic Barrels</v>
      </c>
      <c r="G291" s="10" t="str">
        <f t="array" ref="G291">IFERROR(IF(INDEX(T1_ProductType!$E:$E,MATCH(INDEX(T2_GroupSKU!$C:$C,MATCH(B291,T2_GroupSKU!$A:$A,0)),T1_ProductType!$A:$A,0))="","-",INDEX(T1_ProductType!$E:$E,MATCH(INDEX(T2_GroupSKU!$C:$C,MATCH(B291,T2_GroupSKU!$A:$A,0)),T1_ProductType!$A:$A,0))),"-")</f>
        <v>Tight Head Drum</v>
      </c>
      <c r="H291" s="10">
        <f t="array" ref="H291">IFERROR(IF(INDEX(T2_GroupSKU!$D:$D,MATCH(B291,T2_GroupSKU!$A:$A,0))="","-",INDEX(T2_GroupSKU!$D:$D,MATCH(B291,T2_GroupSKU!$A:$A,0))),"-")</f>
        <v>210</v>
      </c>
      <c r="I291" s="10" t="str">
        <f t="array" ref="I291">IFERROR(IF(INDEX(T2_GroupSKU!$E:$E,MATCH(B291,T2_GroupSKU!$A:$A,0))="","-",INDEX(T2_GroupSKU!$E:$E,MATCH(B291,T2_GroupSKU!$A:$A,0))),"-")</f>
        <v>LTR</v>
      </c>
      <c r="J291" s="10" t="str">
        <f>T3_SKU!C291</f>
        <v>Green / 9.2 KG</v>
      </c>
      <c r="K291" s="10" t="str">
        <f>T3_SKU!D291</f>
        <v>210 LTR GREEN N/M 9.2 KG</v>
      </c>
      <c r="L291" s="10" t="str">
        <f>T3_SKU!E291</f>
        <v>NOS</v>
      </c>
      <c r="M291" s="10" t="str">
        <f>T3_SKU!F291</f>
        <v>39233090</v>
      </c>
    </row>
    <row r="292" ht="15.0" customHeight="1">
      <c r="A292" s="10" t="str">
        <f>T3_SKU!A292</f>
        <v>NMD-210-GRN-95KG</v>
      </c>
      <c r="B292" s="10" t="str">
        <f>T3_SKU!B292</f>
        <v>NMD-210</v>
      </c>
      <c r="C292" s="10" t="str">
        <f t="array" ref="C292">IFERROR(INDEX(T2_GroupSKU!$B:$B,MATCH(B292,T2_GroupSKU!$A:$A,0)),"")</f>
        <v>Narrow Mouth Drum - 210.0 LTR</v>
      </c>
      <c r="D292" s="10" t="str">
        <f t="array" ref="D292">IFERROR(INDEX(T1_ProductType!$B:$B,MATCH(INDEX(T2_GroupSKU!$C:$C,MATCH(B292,T2_GroupSKU!$A:$A,0)),T1_ProductType!$A:$A,0)),"")</f>
        <v>Narrow Mouth Drum</v>
      </c>
      <c r="E292" s="10" t="str">
        <f t="array" ref="E292">IFERROR(INDEX(T1_ProductType!$C:$C,MATCH(INDEX(T2_GroupSKU!$C:$C,MATCH(B292,T2_GroupSKU!$A:$A,0)),T1_ProductType!$A:$A,0)),"")</f>
        <v>Drum</v>
      </c>
      <c r="F292" s="10" t="str">
        <f t="array" ref="F292">IFERROR(INDEX(T1_ProductType!$D:$D,MATCH(INDEX(T2_GroupSKU!$C:$C,MATCH(B292,T2_GroupSKU!$A:$A,0)),T1_ProductType!$A:$A,0)),"")</f>
        <v>Plastic Barrels</v>
      </c>
      <c r="G292" s="10" t="str">
        <f t="array" ref="G292">IFERROR(IF(INDEX(T1_ProductType!$E:$E,MATCH(INDEX(T2_GroupSKU!$C:$C,MATCH(B292,T2_GroupSKU!$A:$A,0)),T1_ProductType!$A:$A,0))="","-",INDEX(T1_ProductType!$E:$E,MATCH(INDEX(T2_GroupSKU!$C:$C,MATCH(B292,T2_GroupSKU!$A:$A,0)),T1_ProductType!$A:$A,0))),"-")</f>
        <v>Tight Head Drum</v>
      </c>
      <c r="H292" s="10">
        <f t="array" ref="H292">IFERROR(IF(INDEX(T2_GroupSKU!$D:$D,MATCH(B292,T2_GroupSKU!$A:$A,0))="","-",INDEX(T2_GroupSKU!$D:$D,MATCH(B292,T2_GroupSKU!$A:$A,0))),"-")</f>
        <v>210</v>
      </c>
      <c r="I292" s="10" t="str">
        <f t="array" ref="I292">IFERROR(IF(INDEX(T2_GroupSKU!$E:$E,MATCH(B292,T2_GroupSKU!$A:$A,0))="","-",INDEX(T2_GroupSKU!$E:$E,MATCH(B292,T2_GroupSKU!$A:$A,0))),"-")</f>
        <v>LTR</v>
      </c>
      <c r="J292" s="10" t="str">
        <f>T3_SKU!C292</f>
        <v>Green / 9.5 KG</v>
      </c>
      <c r="K292" s="10" t="str">
        <f>T3_SKU!D292</f>
        <v>210 LTR GREEN N/M 9.5 KG</v>
      </c>
      <c r="L292" s="10" t="str">
        <f>T3_SKU!E292</f>
        <v>NOS</v>
      </c>
      <c r="M292" s="10" t="str">
        <f>T3_SKU!F292</f>
        <v>39233090</v>
      </c>
    </row>
    <row r="293" ht="15.0" customHeight="1">
      <c r="A293" s="10" t="str">
        <f>T3_SKU!A293</f>
        <v>NMD-210-WHT-35KG</v>
      </c>
      <c r="B293" s="10" t="str">
        <f>T3_SKU!B293</f>
        <v>NMD-210</v>
      </c>
      <c r="C293" s="10" t="str">
        <f t="array" ref="C293">IFERROR(INDEX(T2_GroupSKU!$B:$B,MATCH(B293,T2_GroupSKU!$A:$A,0)),"")</f>
        <v>Narrow Mouth Drum - 210.0 LTR</v>
      </c>
      <c r="D293" s="10" t="str">
        <f t="array" ref="D293">IFERROR(INDEX(T1_ProductType!$B:$B,MATCH(INDEX(T2_GroupSKU!$C:$C,MATCH(B293,T2_GroupSKU!$A:$A,0)),T1_ProductType!$A:$A,0)),"")</f>
        <v>Narrow Mouth Drum</v>
      </c>
      <c r="E293" s="10" t="str">
        <f t="array" ref="E293">IFERROR(INDEX(T1_ProductType!$C:$C,MATCH(INDEX(T2_GroupSKU!$C:$C,MATCH(B293,T2_GroupSKU!$A:$A,0)),T1_ProductType!$A:$A,0)),"")</f>
        <v>Drum</v>
      </c>
      <c r="F293" s="10" t="str">
        <f t="array" ref="F293">IFERROR(INDEX(T1_ProductType!$D:$D,MATCH(INDEX(T2_GroupSKU!$C:$C,MATCH(B293,T2_GroupSKU!$A:$A,0)),T1_ProductType!$A:$A,0)),"")</f>
        <v>Plastic Barrels</v>
      </c>
      <c r="G293" s="10" t="str">
        <f t="array" ref="G293">IFERROR(IF(INDEX(T1_ProductType!$E:$E,MATCH(INDEX(T2_GroupSKU!$C:$C,MATCH(B293,T2_GroupSKU!$A:$A,0)),T1_ProductType!$A:$A,0))="","-",INDEX(T1_ProductType!$E:$E,MATCH(INDEX(T2_GroupSKU!$C:$C,MATCH(B293,T2_GroupSKU!$A:$A,0)),T1_ProductType!$A:$A,0))),"-")</f>
        <v>Tight Head Drum</v>
      </c>
      <c r="H293" s="10">
        <f t="array" ref="H293">IFERROR(IF(INDEX(T2_GroupSKU!$D:$D,MATCH(B293,T2_GroupSKU!$A:$A,0))="","-",INDEX(T2_GroupSKU!$D:$D,MATCH(B293,T2_GroupSKU!$A:$A,0))),"-")</f>
        <v>210</v>
      </c>
      <c r="I293" s="10" t="str">
        <f t="array" ref="I293">IFERROR(IF(INDEX(T2_GroupSKU!$E:$E,MATCH(B293,T2_GroupSKU!$A:$A,0))="","-",INDEX(T2_GroupSKU!$E:$E,MATCH(B293,T2_GroupSKU!$A:$A,0))),"-")</f>
        <v>LTR</v>
      </c>
      <c r="J293" s="10" t="str">
        <f>T3_SKU!C293</f>
        <v>White / 3.5 KG</v>
      </c>
      <c r="K293" s="10" t="str">
        <f>T3_SKU!D293</f>
        <v>210 LTR WHITE N/M INNER CONTAINER 3.5 KG</v>
      </c>
      <c r="L293" s="10" t="str">
        <f>T3_SKU!E293</f>
        <v>nos</v>
      </c>
      <c r="M293" s="10" t="str">
        <f>T3_SKU!F293</f>
        <v>39233090</v>
      </c>
    </row>
    <row r="294" ht="15.0" customHeight="1">
      <c r="A294" s="10" t="str">
        <f>T3_SKU!A294</f>
        <v>NMD-210-WHT-55KG</v>
      </c>
      <c r="B294" s="10" t="str">
        <f>T3_SKU!B294</f>
        <v>NMD-210</v>
      </c>
      <c r="C294" s="10" t="str">
        <f t="array" ref="C294">IFERROR(INDEX(T2_GroupSKU!$B:$B,MATCH(B294,T2_GroupSKU!$A:$A,0)),"")</f>
        <v>Narrow Mouth Drum - 210.0 LTR</v>
      </c>
      <c r="D294" s="10" t="str">
        <f t="array" ref="D294">IFERROR(INDEX(T1_ProductType!$B:$B,MATCH(INDEX(T2_GroupSKU!$C:$C,MATCH(B294,T2_GroupSKU!$A:$A,0)),T1_ProductType!$A:$A,0)),"")</f>
        <v>Narrow Mouth Drum</v>
      </c>
      <c r="E294" s="10" t="str">
        <f t="array" ref="E294">IFERROR(INDEX(T1_ProductType!$C:$C,MATCH(INDEX(T2_GroupSKU!$C:$C,MATCH(B294,T2_GroupSKU!$A:$A,0)),T1_ProductType!$A:$A,0)),"")</f>
        <v>Drum</v>
      </c>
      <c r="F294" s="10" t="str">
        <f t="array" ref="F294">IFERROR(INDEX(T1_ProductType!$D:$D,MATCH(INDEX(T2_GroupSKU!$C:$C,MATCH(B294,T2_GroupSKU!$A:$A,0)),T1_ProductType!$A:$A,0)),"")</f>
        <v>Plastic Barrels</v>
      </c>
      <c r="G294" s="10" t="str">
        <f t="array" ref="G294">IFERROR(IF(INDEX(T1_ProductType!$E:$E,MATCH(INDEX(T2_GroupSKU!$C:$C,MATCH(B294,T2_GroupSKU!$A:$A,0)),T1_ProductType!$A:$A,0))="","-",INDEX(T1_ProductType!$E:$E,MATCH(INDEX(T2_GroupSKU!$C:$C,MATCH(B294,T2_GroupSKU!$A:$A,0)),T1_ProductType!$A:$A,0))),"-")</f>
        <v>Tight Head Drum</v>
      </c>
      <c r="H294" s="10">
        <f t="array" ref="H294">IFERROR(IF(INDEX(T2_GroupSKU!$D:$D,MATCH(B294,T2_GroupSKU!$A:$A,0))="","-",INDEX(T2_GroupSKU!$D:$D,MATCH(B294,T2_GroupSKU!$A:$A,0))),"-")</f>
        <v>210</v>
      </c>
      <c r="I294" s="10" t="str">
        <f t="array" ref="I294">IFERROR(IF(INDEX(T2_GroupSKU!$E:$E,MATCH(B294,T2_GroupSKU!$A:$A,0))="","-",INDEX(T2_GroupSKU!$E:$E,MATCH(B294,T2_GroupSKU!$A:$A,0))),"-")</f>
        <v>LTR</v>
      </c>
      <c r="J294" s="10" t="str">
        <f>T3_SKU!C294</f>
        <v>White / 5.5 KG</v>
      </c>
      <c r="K294" s="10" t="str">
        <f>T3_SKU!D294</f>
        <v>210 LTR WHITE N/M INNER CONTAINER 5.5 KG</v>
      </c>
      <c r="L294" s="10" t="str">
        <f>T3_SKU!E294</f>
        <v>nos</v>
      </c>
      <c r="M294" s="10" t="str">
        <f>T3_SKU!F294</f>
        <v>39233090</v>
      </c>
    </row>
    <row r="295" ht="15.0" customHeight="1">
      <c r="A295" s="10" t="str">
        <f>T3_SKU!A295</f>
        <v>NMD-210-WHT-775KG</v>
      </c>
      <c r="B295" s="10" t="str">
        <f>T3_SKU!B295</f>
        <v>NMD-210</v>
      </c>
      <c r="C295" s="10" t="str">
        <f t="array" ref="C295">IFERROR(INDEX(T2_GroupSKU!$B:$B,MATCH(B295,T2_GroupSKU!$A:$A,0)),"")</f>
        <v>Narrow Mouth Drum - 210.0 LTR</v>
      </c>
      <c r="D295" s="10" t="str">
        <f t="array" ref="D295">IFERROR(INDEX(T1_ProductType!$B:$B,MATCH(INDEX(T2_GroupSKU!$C:$C,MATCH(B295,T2_GroupSKU!$A:$A,0)),T1_ProductType!$A:$A,0)),"")</f>
        <v>Narrow Mouth Drum</v>
      </c>
      <c r="E295" s="10" t="str">
        <f t="array" ref="E295">IFERROR(INDEX(T1_ProductType!$C:$C,MATCH(INDEX(T2_GroupSKU!$C:$C,MATCH(B295,T2_GroupSKU!$A:$A,0)),T1_ProductType!$A:$A,0)),"")</f>
        <v>Drum</v>
      </c>
      <c r="F295" s="10" t="str">
        <f t="array" ref="F295">IFERROR(INDEX(T1_ProductType!$D:$D,MATCH(INDEX(T2_GroupSKU!$C:$C,MATCH(B295,T2_GroupSKU!$A:$A,0)),T1_ProductType!$A:$A,0)),"")</f>
        <v>Plastic Barrels</v>
      </c>
      <c r="G295" s="10" t="str">
        <f t="array" ref="G295">IFERROR(IF(INDEX(T1_ProductType!$E:$E,MATCH(INDEX(T2_GroupSKU!$C:$C,MATCH(B295,T2_GroupSKU!$A:$A,0)),T1_ProductType!$A:$A,0))="","-",INDEX(T1_ProductType!$E:$E,MATCH(INDEX(T2_GroupSKU!$C:$C,MATCH(B295,T2_GroupSKU!$A:$A,0)),T1_ProductType!$A:$A,0))),"-")</f>
        <v>Tight Head Drum</v>
      </c>
      <c r="H295" s="10">
        <f t="array" ref="H295">IFERROR(IF(INDEX(T2_GroupSKU!$D:$D,MATCH(B295,T2_GroupSKU!$A:$A,0))="","-",INDEX(T2_GroupSKU!$D:$D,MATCH(B295,T2_GroupSKU!$A:$A,0))),"-")</f>
        <v>210</v>
      </c>
      <c r="I295" s="10" t="str">
        <f t="array" ref="I295">IFERROR(IF(INDEX(T2_GroupSKU!$E:$E,MATCH(B295,T2_GroupSKU!$A:$A,0))="","-",INDEX(T2_GroupSKU!$E:$E,MATCH(B295,T2_GroupSKU!$A:$A,0))),"-")</f>
        <v>LTR</v>
      </c>
      <c r="J295" s="10" t="str">
        <f>T3_SKU!C295</f>
        <v>White / 7.75 KG</v>
      </c>
      <c r="K295" s="10" t="str">
        <f>T3_SKU!D295</f>
        <v>210 LTR WHITE N/M 7.75 KG</v>
      </c>
      <c r="L295" s="10" t="str">
        <f>T3_SKU!E295</f>
        <v>NOS</v>
      </c>
      <c r="M295" s="10" t="str">
        <f>T3_SKU!F295</f>
        <v>39233090</v>
      </c>
    </row>
    <row r="296" ht="15.0" customHeight="1">
      <c r="A296" s="10" t="str">
        <f>T3_SKU!A296</f>
        <v>NMD-210-WHT-78KG</v>
      </c>
      <c r="B296" s="10" t="str">
        <f>T3_SKU!B296</f>
        <v>NMD-210</v>
      </c>
      <c r="C296" s="10" t="str">
        <f t="array" ref="C296">IFERROR(INDEX(T2_GroupSKU!$B:$B,MATCH(B296,T2_GroupSKU!$A:$A,0)),"")</f>
        <v>Narrow Mouth Drum - 210.0 LTR</v>
      </c>
      <c r="D296" s="10" t="str">
        <f t="array" ref="D296">IFERROR(INDEX(T1_ProductType!$B:$B,MATCH(INDEX(T2_GroupSKU!$C:$C,MATCH(B296,T2_GroupSKU!$A:$A,0)),T1_ProductType!$A:$A,0)),"")</f>
        <v>Narrow Mouth Drum</v>
      </c>
      <c r="E296" s="10" t="str">
        <f t="array" ref="E296">IFERROR(INDEX(T1_ProductType!$C:$C,MATCH(INDEX(T2_GroupSKU!$C:$C,MATCH(B296,T2_GroupSKU!$A:$A,0)),T1_ProductType!$A:$A,0)),"")</f>
        <v>Drum</v>
      </c>
      <c r="F296" s="10" t="str">
        <f t="array" ref="F296">IFERROR(INDEX(T1_ProductType!$D:$D,MATCH(INDEX(T2_GroupSKU!$C:$C,MATCH(B296,T2_GroupSKU!$A:$A,0)),T1_ProductType!$A:$A,0)),"")</f>
        <v>Plastic Barrels</v>
      </c>
      <c r="G296" s="10" t="str">
        <f t="array" ref="G296">IFERROR(IF(INDEX(T1_ProductType!$E:$E,MATCH(INDEX(T2_GroupSKU!$C:$C,MATCH(B296,T2_GroupSKU!$A:$A,0)),T1_ProductType!$A:$A,0))="","-",INDEX(T1_ProductType!$E:$E,MATCH(INDEX(T2_GroupSKU!$C:$C,MATCH(B296,T2_GroupSKU!$A:$A,0)),T1_ProductType!$A:$A,0))),"-")</f>
        <v>Tight Head Drum</v>
      </c>
      <c r="H296" s="10">
        <f t="array" ref="H296">IFERROR(IF(INDEX(T2_GroupSKU!$D:$D,MATCH(B296,T2_GroupSKU!$A:$A,0))="","-",INDEX(T2_GroupSKU!$D:$D,MATCH(B296,T2_GroupSKU!$A:$A,0))),"-")</f>
        <v>210</v>
      </c>
      <c r="I296" s="10" t="str">
        <f t="array" ref="I296">IFERROR(IF(INDEX(T2_GroupSKU!$E:$E,MATCH(B296,T2_GroupSKU!$A:$A,0))="","-",INDEX(T2_GroupSKU!$E:$E,MATCH(B296,T2_GroupSKU!$A:$A,0))),"-")</f>
        <v>LTR</v>
      </c>
      <c r="J296" s="10" t="str">
        <f>T3_SKU!C296</f>
        <v>White / 7.8 KG</v>
      </c>
      <c r="K296" s="10" t="str">
        <f>T3_SKU!D296</f>
        <v>210 LTR WHITE N/M 7.8 KG</v>
      </c>
      <c r="L296" s="10" t="str">
        <f>T3_SKU!E296</f>
        <v>NOS</v>
      </c>
      <c r="M296" s="10" t="str">
        <f>T3_SKU!F296</f>
        <v>39233090</v>
      </c>
    </row>
    <row r="297" ht="15.0" customHeight="1">
      <c r="A297" s="10" t="str">
        <f>T3_SKU!A297</f>
        <v>NMD-210-WHT-815KG</v>
      </c>
      <c r="B297" s="10" t="str">
        <f>T3_SKU!B297</f>
        <v>NMD-210</v>
      </c>
      <c r="C297" s="10" t="str">
        <f t="array" ref="C297">IFERROR(INDEX(T2_GroupSKU!$B:$B,MATCH(B297,T2_GroupSKU!$A:$A,0)),"")</f>
        <v>Narrow Mouth Drum - 210.0 LTR</v>
      </c>
      <c r="D297" s="10" t="str">
        <f t="array" ref="D297">IFERROR(INDEX(T1_ProductType!$B:$B,MATCH(INDEX(T2_GroupSKU!$C:$C,MATCH(B297,T2_GroupSKU!$A:$A,0)),T1_ProductType!$A:$A,0)),"")</f>
        <v>Narrow Mouth Drum</v>
      </c>
      <c r="E297" s="10" t="str">
        <f t="array" ref="E297">IFERROR(INDEX(T1_ProductType!$C:$C,MATCH(INDEX(T2_GroupSKU!$C:$C,MATCH(B297,T2_GroupSKU!$A:$A,0)),T1_ProductType!$A:$A,0)),"")</f>
        <v>Drum</v>
      </c>
      <c r="F297" s="10" t="str">
        <f t="array" ref="F297">IFERROR(INDEX(T1_ProductType!$D:$D,MATCH(INDEX(T2_GroupSKU!$C:$C,MATCH(B297,T2_GroupSKU!$A:$A,0)),T1_ProductType!$A:$A,0)),"")</f>
        <v>Plastic Barrels</v>
      </c>
      <c r="G297" s="10" t="str">
        <f t="array" ref="G297">IFERROR(IF(INDEX(T1_ProductType!$E:$E,MATCH(INDEX(T2_GroupSKU!$C:$C,MATCH(B297,T2_GroupSKU!$A:$A,0)),T1_ProductType!$A:$A,0))="","-",INDEX(T1_ProductType!$E:$E,MATCH(INDEX(T2_GroupSKU!$C:$C,MATCH(B297,T2_GroupSKU!$A:$A,0)),T1_ProductType!$A:$A,0))),"-")</f>
        <v>Tight Head Drum</v>
      </c>
      <c r="H297" s="10">
        <f t="array" ref="H297">IFERROR(IF(INDEX(T2_GroupSKU!$D:$D,MATCH(B297,T2_GroupSKU!$A:$A,0))="","-",INDEX(T2_GroupSKU!$D:$D,MATCH(B297,T2_GroupSKU!$A:$A,0))),"-")</f>
        <v>210</v>
      </c>
      <c r="I297" s="10" t="str">
        <f t="array" ref="I297">IFERROR(IF(INDEX(T2_GroupSKU!$E:$E,MATCH(B297,T2_GroupSKU!$A:$A,0))="","-",INDEX(T2_GroupSKU!$E:$E,MATCH(B297,T2_GroupSKU!$A:$A,0))),"-")</f>
        <v>LTR</v>
      </c>
      <c r="J297" s="10" t="str">
        <f>T3_SKU!C297</f>
        <v>White / 8.15 KG</v>
      </c>
      <c r="K297" s="10" t="str">
        <f>T3_SKU!D297</f>
        <v>210 LTR WHITE N/M 8.15 KG</v>
      </c>
      <c r="L297" s="10" t="str">
        <f>T3_SKU!E297</f>
        <v>NOS</v>
      </c>
      <c r="M297" s="10" t="str">
        <f>T3_SKU!F297</f>
        <v>39233090</v>
      </c>
    </row>
    <row r="298" ht="15.0" customHeight="1">
      <c r="A298" s="10" t="str">
        <f>T3_SKU!A298</f>
        <v>NMD-210-WHT-82KG</v>
      </c>
      <c r="B298" s="10" t="str">
        <f>T3_SKU!B298</f>
        <v>NMD-210</v>
      </c>
      <c r="C298" s="10" t="str">
        <f t="array" ref="C298">IFERROR(INDEX(T2_GroupSKU!$B:$B,MATCH(B298,T2_GroupSKU!$A:$A,0)),"")</f>
        <v>Narrow Mouth Drum - 210.0 LTR</v>
      </c>
      <c r="D298" s="10" t="str">
        <f t="array" ref="D298">IFERROR(INDEX(T1_ProductType!$B:$B,MATCH(INDEX(T2_GroupSKU!$C:$C,MATCH(B298,T2_GroupSKU!$A:$A,0)),T1_ProductType!$A:$A,0)),"")</f>
        <v>Narrow Mouth Drum</v>
      </c>
      <c r="E298" s="10" t="str">
        <f t="array" ref="E298">IFERROR(INDEX(T1_ProductType!$C:$C,MATCH(INDEX(T2_GroupSKU!$C:$C,MATCH(B298,T2_GroupSKU!$A:$A,0)),T1_ProductType!$A:$A,0)),"")</f>
        <v>Drum</v>
      </c>
      <c r="F298" s="10" t="str">
        <f t="array" ref="F298">IFERROR(INDEX(T1_ProductType!$D:$D,MATCH(INDEX(T2_GroupSKU!$C:$C,MATCH(B298,T2_GroupSKU!$A:$A,0)),T1_ProductType!$A:$A,0)),"")</f>
        <v>Plastic Barrels</v>
      </c>
      <c r="G298" s="10" t="str">
        <f t="array" ref="G298">IFERROR(IF(INDEX(T1_ProductType!$E:$E,MATCH(INDEX(T2_GroupSKU!$C:$C,MATCH(B298,T2_GroupSKU!$A:$A,0)),T1_ProductType!$A:$A,0))="","-",INDEX(T1_ProductType!$E:$E,MATCH(INDEX(T2_GroupSKU!$C:$C,MATCH(B298,T2_GroupSKU!$A:$A,0)),T1_ProductType!$A:$A,0))),"-")</f>
        <v>Tight Head Drum</v>
      </c>
      <c r="H298" s="10">
        <f t="array" ref="H298">IFERROR(IF(INDEX(T2_GroupSKU!$D:$D,MATCH(B298,T2_GroupSKU!$A:$A,0))="","-",INDEX(T2_GroupSKU!$D:$D,MATCH(B298,T2_GroupSKU!$A:$A,0))),"-")</f>
        <v>210</v>
      </c>
      <c r="I298" s="10" t="str">
        <f t="array" ref="I298">IFERROR(IF(INDEX(T2_GroupSKU!$E:$E,MATCH(B298,T2_GroupSKU!$A:$A,0))="","-",INDEX(T2_GroupSKU!$E:$E,MATCH(B298,T2_GroupSKU!$A:$A,0))),"-")</f>
        <v>LTR</v>
      </c>
      <c r="J298" s="10" t="str">
        <f>T3_SKU!C298</f>
        <v>White / 8.2 KG</v>
      </c>
      <c r="K298" s="10" t="str">
        <f>T3_SKU!D298</f>
        <v>210 LTR WHITE N/M 8.2 KG</v>
      </c>
      <c r="L298" s="10" t="str">
        <f>T3_SKU!E298</f>
        <v>NOS</v>
      </c>
      <c r="M298" s="10" t="str">
        <f>T3_SKU!F298</f>
        <v>39233090</v>
      </c>
    </row>
    <row r="299" ht="15.0" customHeight="1">
      <c r="A299" s="10" t="str">
        <f>T3_SKU!A299</f>
        <v>NMD-210-YEL-755KG</v>
      </c>
      <c r="B299" s="10" t="str">
        <f>T3_SKU!B299</f>
        <v>NMD-210</v>
      </c>
      <c r="C299" s="10" t="str">
        <f t="array" ref="C299">IFERROR(INDEX(T2_GroupSKU!$B:$B,MATCH(B299,T2_GroupSKU!$A:$A,0)),"")</f>
        <v>Narrow Mouth Drum - 210.0 LTR</v>
      </c>
      <c r="D299" s="10" t="str">
        <f t="array" ref="D299">IFERROR(INDEX(T1_ProductType!$B:$B,MATCH(INDEX(T2_GroupSKU!$C:$C,MATCH(B299,T2_GroupSKU!$A:$A,0)),T1_ProductType!$A:$A,0)),"")</f>
        <v>Narrow Mouth Drum</v>
      </c>
      <c r="E299" s="10" t="str">
        <f t="array" ref="E299">IFERROR(INDEX(T1_ProductType!$C:$C,MATCH(INDEX(T2_GroupSKU!$C:$C,MATCH(B299,T2_GroupSKU!$A:$A,0)),T1_ProductType!$A:$A,0)),"")</f>
        <v>Drum</v>
      </c>
      <c r="F299" s="10" t="str">
        <f t="array" ref="F299">IFERROR(INDEX(T1_ProductType!$D:$D,MATCH(INDEX(T2_GroupSKU!$C:$C,MATCH(B299,T2_GroupSKU!$A:$A,0)),T1_ProductType!$A:$A,0)),"")</f>
        <v>Plastic Barrels</v>
      </c>
      <c r="G299" s="10" t="str">
        <f t="array" ref="G299">IFERROR(IF(INDEX(T1_ProductType!$E:$E,MATCH(INDEX(T2_GroupSKU!$C:$C,MATCH(B299,T2_GroupSKU!$A:$A,0)),T1_ProductType!$A:$A,0))="","-",INDEX(T1_ProductType!$E:$E,MATCH(INDEX(T2_GroupSKU!$C:$C,MATCH(B299,T2_GroupSKU!$A:$A,0)),T1_ProductType!$A:$A,0))),"-")</f>
        <v>Tight Head Drum</v>
      </c>
      <c r="H299" s="10">
        <f t="array" ref="H299">IFERROR(IF(INDEX(T2_GroupSKU!$D:$D,MATCH(B299,T2_GroupSKU!$A:$A,0))="","-",INDEX(T2_GroupSKU!$D:$D,MATCH(B299,T2_GroupSKU!$A:$A,0))),"-")</f>
        <v>210</v>
      </c>
      <c r="I299" s="10" t="str">
        <f t="array" ref="I299">IFERROR(IF(INDEX(T2_GroupSKU!$E:$E,MATCH(B299,T2_GroupSKU!$A:$A,0))="","-",INDEX(T2_GroupSKU!$E:$E,MATCH(B299,T2_GroupSKU!$A:$A,0))),"-")</f>
        <v>LTR</v>
      </c>
      <c r="J299" s="10" t="str">
        <f>T3_SKU!C299</f>
        <v>Yellow / 7.55 KG</v>
      </c>
      <c r="K299" s="10" t="str">
        <f>T3_SKU!D299</f>
        <v>210 LTR YELLOW N/M 7.55 KG</v>
      </c>
      <c r="L299" s="10" t="str">
        <f>T3_SKU!E299</f>
        <v>NOS</v>
      </c>
      <c r="M299" s="10" t="str">
        <f>T3_SKU!F299</f>
        <v>39233090</v>
      </c>
    </row>
    <row r="300" ht="15.0" customHeight="1">
      <c r="A300" s="10" t="str">
        <f>T3_SKU!A300</f>
        <v>NMD-210-YEL-76KG</v>
      </c>
      <c r="B300" s="10" t="str">
        <f>T3_SKU!B300</f>
        <v>NMD-210</v>
      </c>
      <c r="C300" s="10" t="str">
        <f t="array" ref="C300">IFERROR(INDEX(T2_GroupSKU!$B:$B,MATCH(B300,T2_GroupSKU!$A:$A,0)),"")</f>
        <v>Narrow Mouth Drum - 210.0 LTR</v>
      </c>
      <c r="D300" s="10" t="str">
        <f t="array" ref="D300">IFERROR(INDEX(T1_ProductType!$B:$B,MATCH(INDEX(T2_GroupSKU!$C:$C,MATCH(B300,T2_GroupSKU!$A:$A,0)),T1_ProductType!$A:$A,0)),"")</f>
        <v>Narrow Mouth Drum</v>
      </c>
      <c r="E300" s="10" t="str">
        <f t="array" ref="E300">IFERROR(INDEX(T1_ProductType!$C:$C,MATCH(INDEX(T2_GroupSKU!$C:$C,MATCH(B300,T2_GroupSKU!$A:$A,0)),T1_ProductType!$A:$A,0)),"")</f>
        <v>Drum</v>
      </c>
      <c r="F300" s="10" t="str">
        <f t="array" ref="F300">IFERROR(INDEX(T1_ProductType!$D:$D,MATCH(INDEX(T2_GroupSKU!$C:$C,MATCH(B300,T2_GroupSKU!$A:$A,0)),T1_ProductType!$A:$A,0)),"")</f>
        <v>Plastic Barrels</v>
      </c>
      <c r="G300" s="10" t="str">
        <f t="array" ref="G300">IFERROR(IF(INDEX(T1_ProductType!$E:$E,MATCH(INDEX(T2_GroupSKU!$C:$C,MATCH(B300,T2_GroupSKU!$A:$A,0)),T1_ProductType!$A:$A,0))="","-",INDEX(T1_ProductType!$E:$E,MATCH(INDEX(T2_GroupSKU!$C:$C,MATCH(B300,T2_GroupSKU!$A:$A,0)),T1_ProductType!$A:$A,0))),"-")</f>
        <v>Tight Head Drum</v>
      </c>
      <c r="H300" s="10">
        <f t="array" ref="H300">IFERROR(IF(INDEX(T2_GroupSKU!$D:$D,MATCH(B300,T2_GroupSKU!$A:$A,0))="","-",INDEX(T2_GroupSKU!$D:$D,MATCH(B300,T2_GroupSKU!$A:$A,0))),"-")</f>
        <v>210</v>
      </c>
      <c r="I300" s="10" t="str">
        <f t="array" ref="I300">IFERROR(IF(INDEX(T2_GroupSKU!$E:$E,MATCH(B300,T2_GroupSKU!$A:$A,0))="","-",INDEX(T2_GroupSKU!$E:$E,MATCH(B300,T2_GroupSKU!$A:$A,0))),"-")</f>
        <v>LTR</v>
      </c>
      <c r="J300" s="10" t="str">
        <f>T3_SKU!C300</f>
        <v>Yellow / 7.6 KG</v>
      </c>
      <c r="K300" s="10" t="str">
        <f>T3_SKU!D300</f>
        <v>210 LTR YELLOW N/M  7.6 KG</v>
      </c>
      <c r="L300" s="10" t="str">
        <f>T3_SKU!E300</f>
        <v>NOS</v>
      </c>
      <c r="M300" s="10" t="str">
        <f>T3_SKU!F300</f>
        <v>39233090</v>
      </c>
    </row>
    <row r="301" ht="15.0" customHeight="1">
      <c r="A301" s="10" t="str">
        <f>T3_SKU!A301</f>
        <v>NMD-210-YEL-775KG</v>
      </c>
      <c r="B301" s="10" t="str">
        <f>T3_SKU!B301</f>
        <v>NMD-210</v>
      </c>
      <c r="C301" s="10" t="str">
        <f t="array" ref="C301">IFERROR(INDEX(T2_GroupSKU!$B:$B,MATCH(B301,T2_GroupSKU!$A:$A,0)),"")</f>
        <v>Narrow Mouth Drum - 210.0 LTR</v>
      </c>
      <c r="D301" s="10" t="str">
        <f t="array" ref="D301">IFERROR(INDEX(T1_ProductType!$B:$B,MATCH(INDEX(T2_GroupSKU!$C:$C,MATCH(B301,T2_GroupSKU!$A:$A,0)),T1_ProductType!$A:$A,0)),"")</f>
        <v>Narrow Mouth Drum</v>
      </c>
      <c r="E301" s="10" t="str">
        <f t="array" ref="E301">IFERROR(INDEX(T1_ProductType!$C:$C,MATCH(INDEX(T2_GroupSKU!$C:$C,MATCH(B301,T2_GroupSKU!$A:$A,0)),T1_ProductType!$A:$A,0)),"")</f>
        <v>Drum</v>
      </c>
      <c r="F301" s="10" t="str">
        <f t="array" ref="F301">IFERROR(INDEX(T1_ProductType!$D:$D,MATCH(INDEX(T2_GroupSKU!$C:$C,MATCH(B301,T2_GroupSKU!$A:$A,0)),T1_ProductType!$A:$A,0)),"")</f>
        <v>Plastic Barrels</v>
      </c>
      <c r="G301" s="10" t="str">
        <f t="array" ref="G301">IFERROR(IF(INDEX(T1_ProductType!$E:$E,MATCH(INDEX(T2_GroupSKU!$C:$C,MATCH(B301,T2_GroupSKU!$A:$A,0)),T1_ProductType!$A:$A,0))="","-",INDEX(T1_ProductType!$E:$E,MATCH(INDEX(T2_GroupSKU!$C:$C,MATCH(B301,T2_GroupSKU!$A:$A,0)),T1_ProductType!$A:$A,0))),"-")</f>
        <v>Tight Head Drum</v>
      </c>
      <c r="H301" s="10">
        <f t="array" ref="H301">IFERROR(IF(INDEX(T2_GroupSKU!$D:$D,MATCH(B301,T2_GroupSKU!$A:$A,0))="","-",INDEX(T2_GroupSKU!$D:$D,MATCH(B301,T2_GroupSKU!$A:$A,0))),"-")</f>
        <v>210</v>
      </c>
      <c r="I301" s="10" t="str">
        <f t="array" ref="I301">IFERROR(IF(INDEX(T2_GroupSKU!$E:$E,MATCH(B301,T2_GroupSKU!$A:$A,0))="","-",INDEX(T2_GroupSKU!$E:$E,MATCH(B301,T2_GroupSKU!$A:$A,0))),"-")</f>
        <v>LTR</v>
      </c>
      <c r="J301" s="10" t="str">
        <f>T3_SKU!C301</f>
        <v>Yellow / 7.75 KG</v>
      </c>
      <c r="K301" s="10" t="str">
        <f>T3_SKU!D301</f>
        <v>210 LTR YELLOW N/M 7.75 KG</v>
      </c>
      <c r="L301" s="10" t="str">
        <f>T3_SKU!E301</f>
        <v>NOS</v>
      </c>
      <c r="M301" s="10" t="str">
        <f>T3_SKU!F301</f>
        <v>39233090</v>
      </c>
    </row>
    <row r="302" ht="15.0" customHeight="1">
      <c r="A302" s="10" t="str">
        <f>T3_SKU!A302</f>
        <v>NMD-210-YEL-78KG</v>
      </c>
      <c r="B302" s="10" t="str">
        <f>T3_SKU!B302</f>
        <v>NMD-210</v>
      </c>
      <c r="C302" s="10" t="str">
        <f t="array" ref="C302">IFERROR(INDEX(T2_GroupSKU!$B:$B,MATCH(B302,T2_GroupSKU!$A:$A,0)),"")</f>
        <v>Narrow Mouth Drum - 210.0 LTR</v>
      </c>
      <c r="D302" s="10" t="str">
        <f t="array" ref="D302">IFERROR(INDEX(T1_ProductType!$B:$B,MATCH(INDEX(T2_GroupSKU!$C:$C,MATCH(B302,T2_GroupSKU!$A:$A,0)),T1_ProductType!$A:$A,0)),"")</f>
        <v>Narrow Mouth Drum</v>
      </c>
      <c r="E302" s="10" t="str">
        <f t="array" ref="E302">IFERROR(INDEX(T1_ProductType!$C:$C,MATCH(INDEX(T2_GroupSKU!$C:$C,MATCH(B302,T2_GroupSKU!$A:$A,0)),T1_ProductType!$A:$A,0)),"")</f>
        <v>Drum</v>
      </c>
      <c r="F302" s="10" t="str">
        <f t="array" ref="F302">IFERROR(INDEX(T1_ProductType!$D:$D,MATCH(INDEX(T2_GroupSKU!$C:$C,MATCH(B302,T2_GroupSKU!$A:$A,0)),T1_ProductType!$A:$A,0)),"")</f>
        <v>Plastic Barrels</v>
      </c>
      <c r="G302" s="10" t="str">
        <f t="array" ref="G302">IFERROR(IF(INDEX(T1_ProductType!$E:$E,MATCH(INDEX(T2_GroupSKU!$C:$C,MATCH(B302,T2_GroupSKU!$A:$A,0)),T1_ProductType!$A:$A,0))="","-",INDEX(T1_ProductType!$E:$E,MATCH(INDEX(T2_GroupSKU!$C:$C,MATCH(B302,T2_GroupSKU!$A:$A,0)),T1_ProductType!$A:$A,0))),"-")</f>
        <v>Tight Head Drum</v>
      </c>
      <c r="H302" s="10">
        <f t="array" ref="H302">IFERROR(IF(INDEX(T2_GroupSKU!$D:$D,MATCH(B302,T2_GroupSKU!$A:$A,0))="","-",INDEX(T2_GroupSKU!$D:$D,MATCH(B302,T2_GroupSKU!$A:$A,0))),"-")</f>
        <v>210</v>
      </c>
      <c r="I302" s="10" t="str">
        <f t="array" ref="I302">IFERROR(IF(INDEX(T2_GroupSKU!$E:$E,MATCH(B302,T2_GroupSKU!$A:$A,0))="","-",INDEX(T2_GroupSKU!$E:$E,MATCH(B302,T2_GroupSKU!$A:$A,0))),"-")</f>
        <v>LTR</v>
      </c>
      <c r="J302" s="10" t="str">
        <f>T3_SKU!C302</f>
        <v>Yellow / 7.8 KG</v>
      </c>
      <c r="K302" s="10" t="str">
        <f>T3_SKU!D302</f>
        <v>210 LTR YELLOW N/M 7.8 KG</v>
      </c>
      <c r="L302" s="10" t="str">
        <f>T3_SKU!E302</f>
        <v>NOS</v>
      </c>
      <c r="M302" s="10" t="str">
        <f>T3_SKU!F302</f>
        <v>39233090</v>
      </c>
    </row>
    <row r="303" ht="15.0" customHeight="1">
      <c r="A303" s="10" t="str">
        <f>T3_SKU!A303</f>
        <v>NMD-210-YEL-815KG</v>
      </c>
      <c r="B303" s="10" t="str">
        <f>T3_SKU!B303</f>
        <v>NMD-210</v>
      </c>
      <c r="C303" s="10" t="str">
        <f t="array" ref="C303">IFERROR(INDEX(T2_GroupSKU!$B:$B,MATCH(B303,T2_GroupSKU!$A:$A,0)),"")</f>
        <v>Narrow Mouth Drum - 210.0 LTR</v>
      </c>
      <c r="D303" s="10" t="str">
        <f t="array" ref="D303">IFERROR(INDEX(T1_ProductType!$B:$B,MATCH(INDEX(T2_GroupSKU!$C:$C,MATCH(B303,T2_GroupSKU!$A:$A,0)),T1_ProductType!$A:$A,0)),"")</f>
        <v>Narrow Mouth Drum</v>
      </c>
      <c r="E303" s="10" t="str">
        <f t="array" ref="E303">IFERROR(INDEX(T1_ProductType!$C:$C,MATCH(INDEX(T2_GroupSKU!$C:$C,MATCH(B303,T2_GroupSKU!$A:$A,0)),T1_ProductType!$A:$A,0)),"")</f>
        <v>Drum</v>
      </c>
      <c r="F303" s="10" t="str">
        <f t="array" ref="F303">IFERROR(INDEX(T1_ProductType!$D:$D,MATCH(INDEX(T2_GroupSKU!$C:$C,MATCH(B303,T2_GroupSKU!$A:$A,0)),T1_ProductType!$A:$A,0)),"")</f>
        <v>Plastic Barrels</v>
      </c>
      <c r="G303" s="10" t="str">
        <f t="array" ref="G303">IFERROR(IF(INDEX(T1_ProductType!$E:$E,MATCH(INDEX(T2_GroupSKU!$C:$C,MATCH(B303,T2_GroupSKU!$A:$A,0)),T1_ProductType!$A:$A,0))="","-",INDEX(T1_ProductType!$E:$E,MATCH(INDEX(T2_GroupSKU!$C:$C,MATCH(B303,T2_GroupSKU!$A:$A,0)),T1_ProductType!$A:$A,0))),"-")</f>
        <v>Tight Head Drum</v>
      </c>
      <c r="H303" s="10">
        <f t="array" ref="H303">IFERROR(IF(INDEX(T2_GroupSKU!$D:$D,MATCH(B303,T2_GroupSKU!$A:$A,0))="","-",INDEX(T2_GroupSKU!$D:$D,MATCH(B303,T2_GroupSKU!$A:$A,0))),"-")</f>
        <v>210</v>
      </c>
      <c r="I303" s="10" t="str">
        <f t="array" ref="I303">IFERROR(IF(INDEX(T2_GroupSKU!$E:$E,MATCH(B303,T2_GroupSKU!$A:$A,0))="","-",INDEX(T2_GroupSKU!$E:$E,MATCH(B303,T2_GroupSKU!$A:$A,0))),"-")</f>
        <v>LTR</v>
      </c>
      <c r="J303" s="10" t="str">
        <f>T3_SKU!C303</f>
        <v>Yellow / 8.15 KG</v>
      </c>
      <c r="K303" s="10" t="str">
        <f>T3_SKU!D303</f>
        <v>210 LTR YELLOW N/M 8.15 KG</v>
      </c>
      <c r="L303" s="10" t="str">
        <f>T3_SKU!E303</f>
        <v>NOS</v>
      </c>
      <c r="M303" s="10" t="str">
        <f>T3_SKU!F303</f>
        <v>39233090</v>
      </c>
    </row>
    <row r="304" ht="15.0" customHeight="1">
      <c r="A304" s="10" t="str">
        <f>T3_SKU!A304</f>
        <v>NMD-210-YEL-82KG</v>
      </c>
      <c r="B304" s="10" t="str">
        <f>T3_SKU!B304</f>
        <v>NMD-210</v>
      </c>
      <c r="C304" s="10" t="str">
        <f t="array" ref="C304">IFERROR(INDEX(T2_GroupSKU!$B:$B,MATCH(B304,T2_GroupSKU!$A:$A,0)),"")</f>
        <v>Narrow Mouth Drum - 210.0 LTR</v>
      </c>
      <c r="D304" s="10" t="str">
        <f t="array" ref="D304">IFERROR(INDEX(T1_ProductType!$B:$B,MATCH(INDEX(T2_GroupSKU!$C:$C,MATCH(B304,T2_GroupSKU!$A:$A,0)),T1_ProductType!$A:$A,0)),"")</f>
        <v>Narrow Mouth Drum</v>
      </c>
      <c r="E304" s="10" t="str">
        <f t="array" ref="E304">IFERROR(INDEX(T1_ProductType!$C:$C,MATCH(INDEX(T2_GroupSKU!$C:$C,MATCH(B304,T2_GroupSKU!$A:$A,0)),T1_ProductType!$A:$A,0)),"")</f>
        <v>Drum</v>
      </c>
      <c r="F304" s="10" t="str">
        <f t="array" ref="F304">IFERROR(INDEX(T1_ProductType!$D:$D,MATCH(INDEX(T2_GroupSKU!$C:$C,MATCH(B304,T2_GroupSKU!$A:$A,0)),T1_ProductType!$A:$A,0)),"")</f>
        <v>Plastic Barrels</v>
      </c>
      <c r="G304" s="10" t="str">
        <f t="array" ref="G304">IFERROR(IF(INDEX(T1_ProductType!$E:$E,MATCH(INDEX(T2_GroupSKU!$C:$C,MATCH(B304,T2_GroupSKU!$A:$A,0)),T1_ProductType!$A:$A,0))="","-",INDEX(T1_ProductType!$E:$E,MATCH(INDEX(T2_GroupSKU!$C:$C,MATCH(B304,T2_GroupSKU!$A:$A,0)),T1_ProductType!$A:$A,0))),"-")</f>
        <v>Tight Head Drum</v>
      </c>
      <c r="H304" s="10">
        <f t="array" ref="H304">IFERROR(IF(INDEX(T2_GroupSKU!$D:$D,MATCH(B304,T2_GroupSKU!$A:$A,0))="","-",INDEX(T2_GroupSKU!$D:$D,MATCH(B304,T2_GroupSKU!$A:$A,0))),"-")</f>
        <v>210</v>
      </c>
      <c r="I304" s="10" t="str">
        <f t="array" ref="I304">IFERROR(IF(INDEX(T2_GroupSKU!$E:$E,MATCH(B304,T2_GroupSKU!$A:$A,0))="","-",INDEX(T2_GroupSKU!$E:$E,MATCH(B304,T2_GroupSKU!$A:$A,0))),"-")</f>
        <v>LTR</v>
      </c>
      <c r="J304" s="10" t="str">
        <f>T3_SKU!C304</f>
        <v>Yellow / 8.2 KG</v>
      </c>
      <c r="K304" s="10" t="str">
        <f>T3_SKU!D304</f>
        <v>210 LTR YELLOW N/M 8.2 KG</v>
      </c>
      <c r="L304" s="10" t="str">
        <f>T3_SKU!E304</f>
        <v>NOS</v>
      </c>
      <c r="M304" s="10" t="str">
        <f>T3_SKU!F304</f>
        <v>39233090</v>
      </c>
    </row>
    <row r="305" ht="15.0" customHeight="1">
      <c r="A305" s="10" t="str">
        <f>T3_SKU!A305</f>
        <v>NMD-210-YEL-92KG</v>
      </c>
      <c r="B305" s="10" t="str">
        <f>T3_SKU!B305</f>
        <v>NMD-210</v>
      </c>
      <c r="C305" s="10" t="str">
        <f t="array" ref="C305">IFERROR(INDEX(T2_GroupSKU!$B:$B,MATCH(B305,T2_GroupSKU!$A:$A,0)),"")</f>
        <v>Narrow Mouth Drum - 210.0 LTR</v>
      </c>
      <c r="D305" s="10" t="str">
        <f t="array" ref="D305">IFERROR(INDEX(T1_ProductType!$B:$B,MATCH(INDEX(T2_GroupSKU!$C:$C,MATCH(B305,T2_GroupSKU!$A:$A,0)),T1_ProductType!$A:$A,0)),"")</f>
        <v>Narrow Mouth Drum</v>
      </c>
      <c r="E305" s="10" t="str">
        <f t="array" ref="E305">IFERROR(INDEX(T1_ProductType!$C:$C,MATCH(INDEX(T2_GroupSKU!$C:$C,MATCH(B305,T2_GroupSKU!$A:$A,0)),T1_ProductType!$A:$A,0)),"")</f>
        <v>Drum</v>
      </c>
      <c r="F305" s="10" t="str">
        <f t="array" ref="F305">IFERROR(INDEX(T1_ProductType!$D:$D,MATCH(INDEX(T2_GroupSKU!$C:$C,MATCH(B305,T2_GroupSKU!$A:$A,0)),T1_ProductType!$A:$A,0)),"")</f>
        <v>Plastic Barrels</v>
      </c>
      <c r="G305" s="10" t="str">
        <f t="array" ref="G305">IFERROR(IF(INDEX(T1_ProductType!$E:$E,MATCH(INDEX(T2_GroupSKU!$C:$C,MATCH(B305,T2_GroupSKU!$A:$A,0)),T1_ProductType!$A:$A,0))="","-",INDEX(T1_ProductType!$E:$E,MATCH(INDEX(T2_GroupSKU!$C:$C,MATCH(B305,T2_GroupSKU!$A:$A,0)),T1_ProductType!$A:$A,0))),"-")</f>
        <v>Tight Head Drum</v>
      </c>
      <c r="H305" s="10">
        <f t="array" ref="H305">IFERROR(IF(INDEX(T2_GroupSKU!$D:$D,MATCH(B305,T2_GroupSKU!$A:$A,0))="","-",INDEX(T2_GroupSKU!$D:$D,MATCH(B305,T2_GroupSKU!$A:$A,0))),"-")</f>
        <v>210</v>
      </c>
      <c r="I305" s="10" t="str">
        <f t="array" ref="I305">IFERROR(IF(INDEX(T2_GroupSKU!$E:$E,MATCH(B305,T2_GroupSKU!$A:$A,0))="","-",INDEX(T2_GroupSKU!$E:$E,MATCH(B305,T2_GroupSKU!$A:$A,0))),"-")</f>
        <v>LTR</v>
      </c>
      <c r="J305" s="10" t="str">
        <f>T3_SKU!C305</f>
        <v>Yellow / 9.2 KG</v>
      </c>
      <c r="K305" s="10" t="str">
        <f>T3_SKU!D305</f>
        <v>210 LTR YELLOW N/M 9.2 KG</v>
      </c>
      <c r="L305" s="10" t="str">
        <f>T3_SKU!E305</f>
        <v>NOS</v>
      </c>
      <c r="M305" s="10" t="str">
        <f>T3_SKU!F305</f>
        <v>39233090</v>
      </c>
    </row>
    <row r="306" ht="15.0" customHeight="1">
      <c r="A306" s="10" t="str">
        <f>T3_SKU!A306</f>
        <v>NMD-220-BLU-78KG</v>
      </c>
      <c r="B306" s="10" t="str">
        <f>T3_SKU!B306</f>
        <v>NMD-220</v>
      </c>
      <c r="C306" s="10" t="str">
        <f t="array" ref="C306">IFERROR(INDEX(T2_GroupSKU!$B:$B,MATCH(B306,T2_GroupSKU!$A:$A,0)),"")</f>
        <v>Narrow Mouth Drum - 220.0 LTR</v>
      </c>
      <c r="D306" s="10" t="str">
        <f t="array" ref="D306">IFERROR(INDEX(T1_ProductType!$B:$B,MATCH(INDEX(T2_GroupSKU!$C:$C,MATCH(B306,T2_GroupSKU!$A:$A,0)),T1_ProductType!$A:$A,0)),"")</f>
        <v>Narrow Mouth Drum</v>
      </c>
      <c r="E306" s="10" t="str">
        <f t="array" ref="E306">IFERROR(INDEX(T1_ProductType!$C:$C,MATCH(INDEX(T2_GroupSKU!$C:$C,MATCH(B306,T2_GroupSKU!$A:$A,0)),T1_ProductType!$A:$A,0)),"")</f>
        <v>Drum</v>
      </c>
      <c r="F306" s="10" t="str">
        <f t="array" ref="F306">IFERROR(INDEX(T1_ProductType!$D:$D,MATCH(INDEX(T2_GroupSKU!$C:$C,MATCH(B306,T2_GroupSKU!$A:$A,0)),T1_ProductType!$A:$A,0)),"")</f>
        <v>Plastic Barrels</v>
      </c>
      <c r="G306" s="10" t="str">
        <f t="array" ref="G306">IFERROR(IF(INDEX(T1_ProductType!$E:$E,MATCH(INDEX(T2_GroupSKU!$C:$C,MATCH(B306,T2_GroupSKU!$A:$A,0)),T1_ProductType!$A:$A,0))="","-",INDEX(T1_ProductType!$E:$E,MATCH(INDEX(T2_GroupSKU!$C:$C,MATCH(B306,T2_GroupSKU!$A:$A,0)),T1_ProductType!$A:$A,0))),"-")</f>
        <v>Tight Head Drum</v>
      </c>
      <c r="H306" s="10">
        <f t="array" ref="H306">IFERROR(IF(INDEX(T2_GroupSKU!$D:$D,MATCH(B306,T2_GroupSKU!$A:$A,0))="","-",INDEX(T2_GroupSKU!$D:$D,MATCH(B306,T2_GroupSKU!$A:$A,0))),"-")</f>
        <v>220</v>
      </c>
      <c r="I306" s="10" t="str">
        <f t="array" ref="I306">IFERROR(IF(INDEX(T2_GroupSKU!$E:$E,MATCH(B306,T2_GroupSKU!$A:$A,0))="","-",INDEX(T2_GroupSKU!$E:$E,MATCH(B306,T2_GroupSKU!$A:$A,0))),"-")</f>
        <v>LTR</v>
      </c>
      <c r="J306" s="10" t="str">
        <f>T3_SKU!C306</f>
        <v>Blue / 7.8 KG</v>
      </c>
      <c r="K306" s="10" t="str">
        <f>T3_SKU!D306</f>
        <v>220 LTR BLUE N/M 7.8 KG</v>
      </c>
      <c r="L306" s="10" t="str">
        <f>T3_SKU!E306</f>
        <v>NOS</v>
      </c>
      <c r="M306" s="10" t="str">
        <f>T3_SKU!F306</f>
        <v>39233090</v>
      </c>
    </row>
    <row r="307" ht="15.0" customHeight="1">
      <c r="A307" s="10" t="str">
        <f>T3_SKU!A307</f>
        <v>NMD-220-BLU-815KG</v>
      </c>
      <c r="B307" s="10" t="str">
        <f>T3_SKU!B307</f>
        <v>NMD-220</v>
      </c>
      <c r="C307" s="10" t="str">
        <f t="array" ref="C307">IFERROR(INDEX(T2_GroupSKU!$B:$B,MATCH(B307,T2_GroupSKU!$A:$A,0)),"")</f>
        <v>Narrow Mouth Drum - 220.0 LTR</v>
      </c>
      <c r="D307" s="10" t="str">
        <f t="array" ref="D307">IFERROR(INDEX(T1_ProductType!$B:$B,MATCH(INDEX(T2_GroupSKU!$C:$C,MATCH(B307,T2_GroupSKU!$A:$A,0)),T1_ProductType!$A:$A,0)),"")</f>
        <v>Narrow Mouth Drum</v>
      </c>
      <c r="E307" s="10" t="str">
        <f t="array" ref="E307">IFERROR(INDEX(T1_ProductType!$C:$C,MATCH(INDEX(T2_GroupSKU!$C:$C,MATCH(B307,T2_GroupSKU!$A:$A,0)),T1_ProductType!$A:$A,0)),"")</f>
        <v>Drum</v>
      </c>
      <c r="F307" s="10" t="str">
        <f t="array" ref="F307">IFERROR(INDEX(T1_ProductType!$D:$D,MATCH(INDEX(T2_GroupSKU!$C:$C,MATCH(B307,T2_GroupSKU!$A:$A,0)),T1_ProductType!$A:$A,0)),"")</f>
        <v>Plastic Barrels</v>
      </c>
      <c r="G307" s="10" t="str">
        <f t="array" ref="G307">IFERROR(IF(INDEX(T1_ProductType!$E:$E,MATCH(INDEX(T2_GroupSKU!$C:$C,MATCH(B307,T2_GroupSKU!$A:$A,0)),T1_ProductType!$A:$A,0))="","-",INDEX(T1_ProductType!$E:$E,MATCH(INDEX(T2_GroupSKU!$C:$C,MATCH(B307,T2_GroupSKU!$A:$A,0)),T1_ProductType!$A:$A,0))),"-")</f>
        <v>Tight Head Drum</v>
      </c>
      <c r="H307" s="10">
        <f t="array" ref="H307">IFERROR(IF(INDEX(T2_GroupSKU!$D:$D,MATCH(B307,T2_GroupSKU!$A:$A,0))="","-",INDEX(T2_GroupSKU!$D:$D,MATCH(B307,T2_GroupSKU!$A:$A,0))),"-")</f>
        <v>220</v>
      </c>
      <c r="I307" s="10" t="str">
        <f t="array" ref="I307">IFERROR(IF(INDEX(T2_GroupSKU!$E:$E,MATCH(B307,T2_GroupSKU!$A:$A,0))="","-",INDEX(T2_GroupSKU!$E:$E,MATCH(B307,T2_GroupSKU!$A:$A,0))),"-")</f>
        <v>LTR</v>
      </c>
      <c r="J307" s="10" t="str">
        <f>T3_SKU!C307</f>
        <v>Blue / 8.15 KG</v>
      </c>
      <c r="K307" s="10" t="str">
        <f>T3_SKU!D307</f>
        <v>220 LTR BLUE N/M 8.15 KG</v>
      </c>
      <c r="L307" s="10" t="str">
        <f>T3_SKU!E307</f>
        <v>NOS</v>
      </c>
      <c r="M307" s="10" t="str">
        <f>T3_SKU!F307</f>
        <v>39233090</v>
      </c>
    </row>
    <row r="308" ht="15.0" customHeight="1">
      <c r="A308" s="10" t="str">
        <f>T3_SKU!A308</f>
        <v>NMD-220-BLU-82KG</v>
      </c>
      <c r="B308" s="10" t="str">
        <f>T3_SKU!B308</f>
        <v>NMD-220</v>
      </c>
      <c r="C308" s="10" t="str">
        <f t="array" ref="C308">IFERROR(INDEX(T2_GroupSKU!$B:$B,MATCH(B308,T2_GroupSKU!$A:$A,0)),"")</f>
        <v>Narrow Mouth Drum - 220.0 LTR</v>
      </c>
      <c r="D308" s="10" t="str">
        <f t="array" ref="D308">IFERROR(INDEX(T1_ProductType!$B:$B,MATCH(INDEX(T2_GroupSKU!$C:$C,MATCH(B308,T2_GroupSKU!$A:$A,0)),T1_ProductType!$A:$A,0)),"")</f>
        <v>Narrow Mouth Drum</v>
      </c>
      <c r="E308" s="10" t="str">
        <f t="array" ref="E308">IFERROR(INDEX(T1_ProductType!$C:$C,MATCH(INDEX(T2_GroupSKU!$C:$C,MATCH(B308,T2_GroupSKU!$A:$A,0)),T1_ProductType!$A:$A,0)),"")</f>
        <v>Drum</v>
      </c>
      <c r="F308" s="10" t="str">
        <f t="array" ref="F308">IFERROR(INDEX(T1_ProductType!$D:$D,MATCH(INDEX(T2_GroupSKU!$C:$C,MATCH(B308,T2_GroupSKU!$A:$A,0)),T1_ProductType!$A:$A,0)),"")</f>
        <v>Plastic Barrels</v>
      </c>
      <c r="G308" s="10" t="str">
        <f t="array" ref="G308">IFERROR(IF(INDEX(T1_ProductType!$E:$E,MATCH(INDEX(T2_GroupSKU!$C:$C,MATCH(B308,T2_GroupSKU!$A:$A,0)),T1_ProductType!$A:$A,0))="","-",INDEX(T1_ProductType!$E:$E,MATCH(INDEX(T2_GroupSKU!$C:$C,MATCH(B308,T2_GroupSKU!$A:$A,0)),T1_ProductType!$A:$A,0))),"-")</f>
        <v>Tight Head Drum</v>
      </c>
      <c r="H308" s="10">
        <f t="array" ref="H308">IFERROR(IF(INDEX(T2_GroupSKU!$D:$D,MATCH(B308,T2_GroupSKU!$A:$A,0))="","-",INDEX(T2_GroupSKU!$D:$D,MATCH(B308,T2_GroupSKU!$A:$A,0))),"-")</f>
        <v>220</v>
      </c>
      <c r="I308" s="10" t="str">
        <f t="array" ref="I308">IFERROR(IF(INDEX(T2_GroupSKU!$E:$E,MATCH(B308,T2_GroupSKU!$A:$A,0))="","-",INDEX(T2_GroupSKU!$E:$E,MATCH(B308,T2_GroupSKU!$A:$A,0))),"-")</f>
        <v>LTR</v>
      </c>
      <c r="J308" s="10" t="str">
        <f>T3_SKU!C308</f>
        <v>Blue / 8.2 KG</v>
      </c>
      <c r="K308" s="10" t="str">
        <f>T3_SKU!D308</f>
        <v>220 LTR BLUE N/M 8.2 KG</v>
      </c>
      <c r="L308" s="10" t="str">
        <f>T3_SKU!E308</f>
        <v>NOS</v>
      </c>
      <c r="M308" s="10" t="str">
        <f>T3_SKU!F308</f>
        <v>39233090</v>
      </c>
    </row>
    <row r="309" ht="15.0" customHeight="1">
      <c r="A309" s="10" t="str">
        <f>T3_SKU!A309</f>
        <v>NMD-220-BLU-845KG</v>
      </c>
      <c r="B309" s="10" t="str">
        <f>T3_SKU!B309</f>
        <v>NMD-220</v>
      </c>
      <c r="C309" s="10" t="str">
        <f t="array" ref="C309">IFERROR(INDEX(T2_GroupSKU!$B:$B,MATCH(B309,T2_GroupSKU!$A:$A,0)),"")</f>
        <v>Narrow Mouth Drum - 220.0 LTR</v>
      </c>
      <c r="D309" s="10" t="str">
        <f t="array" ref="D309">IFERROR(INDEX(T1_ProductType!$B:$B,MATCH(INDEX(T2_GroupSKU!$C:$C,MATCH(B309,T2_GroupSKU!$A:$A,0)),T1_ProductType!$A:$A,0)),"")</f>
        <v>Narrow Mouth Drum</v>
      </c>
      <c r="E309" s="10" t="str">
        <f t="array" ref="E309">IFERROR(INDEX(T1_ProductType!$C:$C,MATCH(INDEX(T2_GroupSKU!$C:$C,MATCH(B309,T2_GroupSKU!$A:$A,0)),T1_ProductType!$A:$A,0)),"")</f>
        <v>Drum</v>
      </c>
      <c r="F309" s="10" t="str">
        <f t="array" ref="F309">IFERROR(INDEX(T1_ProductType!$D:$D,MATCH(INDEX(T2_GroupSKU!$C:$C,MATCH(B309,T2_GroupSKU!$A:$A,0)),T1_ProductType!$A:$A,0)),"")</f>
        <v>Plastic Barrels</v>
      </c>
      <c r="G309" s="10" t="str">
        <f t="array" ref="G309">IFERROR(IF(INDEX(T1_ProductType!$E:$E,MATCH(INDEX(T2_GroupSKU!$C:$C,MATCH(B309,T2_GroupSKU!$A:$A,0)),T1_ProductType!$A:$A,0))="","-",INDEX(T1_ProductType!$E:$E,MATCH(INDEX(T2_GroupSKU!$C:$C,MATCH(B309,T2_GroupSKU!$A:$A,0)),T1_ProductType!$A:$A,0))),"-")</f>
        <v>Tight Head Drum</v>
      </c>
      <c r="H309" s="10">
        <f t="array" ref="H309">IFERROR(IF(INDEX(T2_GroupSKU!$D:$D,MATCH(B309,T2_GroupSKU!$A:$A,0))="","-",INDEX(T2_GroupSKU!$D:$D,MATCH(B309,T2_GroupSKU!$A:$A,0))),"-")</f>
        <v>220</v>
      </c>
      <c r="I309" s="10" t="str">
        <f t="array" ref="I309">IFERROR(IF(INDEX(T2_GroupSKU!$E:$E,MATCH(B309,T2_GroupSKU!$A:$A,0))="","-",INDEX(T2_GroupSKU!$E:$E,MATCH(B309,T2_GroupSKU!$A:$A,0))),"-")</f>
        <v>LTR</v>
      </c>
      <c r="J309" s="10" t="str">
        <f>T3_SKU!C309</f>
        <v>Blue / 8.45 KG</v>
      </c>
      <c r="K309" s="10" t="str">
        <f>T3_SKU!D309</f>
        <v>220 LTR BLUE N/M 8.45 KG</v>
      </c>
      <c r="L309" s="10" t="str">
        <f>T3_SKU!E309</f>
        <v>NOS</v>
      </c>
      <c r="M309" s="10" t="str">
        <f>T3_SKU!F309</f>
        <v>39233090</v>
      </c>
    </row>
    <row r="310" ht="15.0" customHeight="1">
      <c r="A310" s="10" t="str">
        <f>T3_SKU!A310</f>
        <v>NMD-220-BLU-85KG</v>
      </c>
      <c r="B310" s="10" t="str">
        <f>T3_SKU!B310</f>
        <v>NMD-220</v>
      </c>
      <c r="C310" s="10" t="str">
        <f t="array" ref="C310">IFERROR(INDEX(T2_GroupSKU!$B:$B,MATCH(B310,T2_GroupSKU!$A:$A,0)),"")</f>
        <v>Narrow Mouth Drum - 220.0 LTR</v>
      </c>
      <c r="D310" s="10" t="str">
        <f t="array" ref="D310">IFERROR(INDEX(T1_ProductType!$B:$B,MATCH(INDEX(T2_GroupSKU!$C:$C,MATCH(B310,T2_GroupSKU!$A:$A,0)),T1_ProductType!$A:$A,0)),"")</f>
        <v>Narrow Mouth Drum</v>
      </c>
      <c r="E310" s="10" t="str">
        <f t="array" ref="E310">IFERROR(INDEX(T1_ProductType!$C:$C,MATCH(INDEX(T2_GroupSKU!$C:$C,MATCH(B310,T2_GroupSKU!$A:$A,0)),T1_ProductType!$A:$A,0)),"")</f>
        <v>Drum</v>
      </c>
      <c r="F310" s="10" t="str">
        <f t="array" ref="F310">IFERROR(INDEX(T1_ProductType!$D:$D,MATCH(INDEX(T2_GroupSKU!$C:$C,MATCH(B310,T2_GroupSKU!$A:$A,0)),T1_ProductType!$A:$A,0)),"")</f>
        <v>Plastic Barrels</v>
      </c>
      <c r="G310" s="10" t="str">
        <f t="array" ref="G310">IFERROR(IF(INDEX(T1_ProductType!$E:$E,MATCH(INDEX(T2_GroupSKU!$C:$C,MATCH(B310,T2_GroupSKU!$A:$A,0)),T1_ProductType!$A:$A,0))="","-",INDEX(T1_ProductType!$E:$E,MATCH(INDEX(T2_GroupSKU!$C:$C,MATCH(B310,T2_GroupSKU!$A:$A,0)),T1_ProductType!$A:$A,0))),"-")</f>
        <v>Tight Head Drum</v>
      </c>
      <c r="H310" s="10">
        <f t="array" ref="H310">IFERROR(IF(INDEX(T2_GroupSKU!$D:$D,MATCH(B310,T2_GroupSKU!$A:$A,0))="","-",INDEX(T2_GroupSKU!$D:$D,MATCH(B310,T2_GroupSKU!$A:$A,0))),"-")</f>
        <v>220</v>
      </c>
      <c r="I310" s="10" t="str">
        <f t="array" ref="I310">IFERROR(IF(INDEX(T2_GroupSKU!$E:$E,MATCH(B310,T2_GroupSKU!$A:$A,0))="","-",INDEX(T2_GroupSKU!$E:$E,MATCH(B310,T2_GroupSKU!$A:$A,0))),"-")</f>
        <v>LTR</v>
      </c>
      <c r="J310" s="10" t="str">
        <f>T3_SKU!C310</f>
        <v>Blue / 8.5 KG</v>
      </c>
      <c r="K310" s="10" t="str">
        <f>T3_SKU!D310</f>
        <v>220 LTR BLUE N/M 8.5 KG</v>
      </c>
      <c r="L310" s="10" t="str">
        <f>T3_SKU!E310</f>
        <v>NOS</v>
      </c>
      <c r="M310" s="10" t="str">
        <f>T3_SKU!F310</f>
        <v>39233090</v>
      </c>
    </row>
    <row r="311" ht="15.0" customHeight="1">
      <c r="A311" s="10" t="str">
        <f>T3_SKU!A311</f>
        <v>NMD-220-BLU-895KG</v>
      </c>
      <c r="B311" s="10" t="str">
        <f>T3_SKU!B311</f>
        <v>NMD-220</v>
      </c>
      <c r="C311" s="10" t="str">
        <f t="array" ref="C311">IFERROR(INDEX(T2_GroupSKU!$B:$B,MATCH(B311,T2_GroupSKU!$A:$A,0)),"")</f>
        <v>Narrow Mouth Drum - 220.0 LTR</v>
      </c>
      <c r="D311" s="10" t="str">
        <f t="array" ref="D311">IFERROR(INDEX(T1_ProductType!$B:$B,MATCH(INDEX(T2_GroupSKU!$C:$C,MATCH(B311,T2_GroupSKU!$A:$A,0)),T1_ProductType!$A:$A,0)),"")</f>
        <v>Narrow Mouth Drum</v>
      </c>
      <c r="E311" s="10" t="str">
        <f t="array" ref="E311">IFERROR(INDEX(T1_ProductType!$C:$C,MATCH(INDEX(T2_GroupSKU!$C:$C,MATCH(B311,T2_GroupSKU!$A:$A,0)),T1_ProductType!$A:$A,0)),"")</f>
        <v>Drum</v>
      </c>
      <c r="F311" s="10" t="str">
        <f t="array" ref="F311">IFERROR(INDEX(T1_ProductType!$D:$D,MATCH(INDEX(T2_GroupSKU!$C:$C,MATCH(B311,T2_GroupSKU!$A:$A,0)),T1_ProductType!$A:$A,0)),"")</f>
        <v>Plastic Barrels</v>
      </c>
      <c r="G311" s="10" t="str">
        <f t="array" ref="G311">IFERROR(IF(INDEX(T1_ProductType!$E:$E,MATCH(INDEX(T2_GroupSKU!$C:$C,MATCH(B311,T2_GroupSKU!$A:$A,0)),T1_ProductType!$A:$A,0))="","-",INDEX(T1_ProductType!$E:$E,MATCH(INDEX(T2_GroupSKU!$C:$C,MATCH(B311,T2_GroupSKU!$A:$A,0)),T1_ProductType!$A:$A,0))),"-")</f>
        <v>Tight Head Drum</v>
      </c>
      <c r="H311" s="10">
        <f t="array" ref="H311">IFERROR(IF(INDEX(T2_GroupSKU!$D:$D,MATCH(B311,T2_GroupSKU!$A:$A,0))="","-",INDEX(T2_GroupSKU!$D:$D,MATCH(B311,T2_GroupSKU!$A:$A,0))),"-")</f>
        <v>220</v>
      </c>
      <c r="I311" s="10" t="str">
        <f t="array" ref="I311">IFERROR(IF(INDEX(T2_GroupSKU!$E:$E,MATCH(B311,T2_GroupSKU!$A:$A,0))="","-",INDEX(T2_GroupSKU!$E:$E,MATCH(B311,T2_GroupSKU!$A:$A,0))),"-")</f>
        <v>LTR</v>
      </c>
      <c r="J311" s="10" t="str">
        <f>T3_SKU!C311</f>
        <v>Blue / 8.95 KG</v>
      </c>
      <c r="K311" s="10" t="str">
        <f>T3_SKU!D311</f>
        <v>220 LTR BLUE N/M 8.95 KG</v>
      </c>
      <c r="L311" s="10" t="str">
        <f>T3_SKU!E311</f>
        <v>NOS</v>
      </c>
      <c r="M311" s="10" t="str">
        <f>T3_SKU!F311</f>
        <v>39233090</v>
      </c>
    </row>
    <row r="312" ht="15.0" customHeight="1">
      <c r="A312" s="10" t="str">
        <f>T3_SKU!A312</f>
        <v>NMD-220-BLU-90KG</v>
      </c>
      <c r="B312" s="10" t="str">
        <f>T3_SKU!B312</f>
        <v>NMD-220</v>
      </c>
      <c r="C312" s="10" t="str">
        <f t="array" ref="C312">IFERROR(INDEX(T2_GroupSKU!$B:$B,MATCH(B312,T2_GroupSKU!$A:$A,0)),"")</f>
        <v>Narrow Mouth Drum - 220.0 LTR</v>
      </c>
      <c r="D312" s="10" t="str">
        <f t="array" ref="D312">IFERROR(INDEX(T1_ProductType!$B:$B,MATCH(INDEX(T2_GroupSKU!$C:$C,MATCH(B312,T2_GroupSKU!$A:$A,0)),T1_ProductType!$A:$A,0)),"")</f>
        <v>Narrow Mouth Drum</v>
      </c>
      <c r="E312" s="10" t="str">
        <f t="array" ref="E312">IFERROR(INDEX(T1_ProductType!$C:$C,MATCH(INDEX(T2_GroupSKU!$C:$C,MATCH(B312,T2_GroupSKU!$A:$A,0)),T1_ProductType!$A:$A,0)),"")</f>
        <v>Drum</v>
      </c>
      <c r="F312" s="10" t="str">
        <f t="array" ref="F312">IFERROR(INDEX(T1_ProductType!$D:$D,MATCH(INDEX(T2_GroupSKU!$C:$C,MATCH(B312,T2_GroupSKU!$A:$A,0)),T1_ProductType!$A:$A,0)),"")</f>
        <v>Plastic Barrels</v>
      </c>
      <c r="G312" s="10" t="str">
        <f t="array" ref="G312">IFERROR(IF(INDEX(T1_ProductType!$E:$E,MATCH(INDEX(T2_GroupSKU!$C:$C,MATCH(B312,T2_GroupSKU!$A:$A,0)),T1_ProductType!$A:$A,0))="","-",INDEX(T1_ProductType!$E:$E,MATCH(INDEX(T2_GroupSKU!$C:$C,MATCH(B312,T2_GroupSKU!$A:$A,0)),T1_ProductType!$A:$A,0))),"-")</f>
        <v>Tight Head Drum</v>
      </c>
      <c r="H312" s="10">
        <f t="array" ref="H312">IFERROR(IF(INDEX(T2_GroupSKU!$D:$D,MATCH(B312,T2_GroupSKU!$A:$A,0))="","-",INDEX(T2_GroupSKU!$D:$D,MATCH(B312,T2_GroupSKU!$A:$A,0))),"-")</f>
        <v>220</v>
      </c>
      <c r="I312" s="10" t="str">
        <f t="array" ref="I312">IFERROR(IF(INDEX(T2_GroupSKU!$E:$E,MATCH(B312,T2_GroupSKU!$A:$A,0))="","-",INDEX(T2_GroupSKU!$E:$E,MATCH(B312,T2_GroupSKU!$A:$A,0))),"-")</f>
        <v>LTR</v>
      </c>
      <c r="J312" s="10" t="str">
        <f>T3_SKU!C312</f>
        <v>Blue / 9.0 KG</v>
      </c>
      <c r="K312" s="10" t="str">
        <f>T3_SKU!D312</f>
        <v>220 LTR BLUE N/M 9.0 KG</v>
      </c>
      <c r="L312" s="10" t="str">
        <f>T3_SKU!E312</f>
        <v>NOS</v>
      </c>
      <c r="M312" s="10" t="str">
        <f>T3_SKU!F312</f>
        <v>39233090</v>
      </c>
    </row>
    <row r="313" ht="15.0" customHeight="1">
      <c r="A313" s="10" t="str">
        <f>T3_SKU!A313</f>
        <v>NMD-220-BLU-915KG</v>
      </c>
      <c r="B313" s="10" t="str">
        <f>T3_SKU!B313</f>
        <v>NMD-220</v>
      </c>
      <c r="C313" s="10" t="str">
        <f t="array" ref="C313">IFERROR(INDEX(T2_GroupSKU!$B:$B,MATCH(B313,T2_GroupSKU!$A:$A,0)),"")</f>
        <v>Narrow Mouth Drum - 220.0 LTR</v>
      </c>
      <c r="D313" s="10" t="str">
        <f t="array" ref="D313">IFERROR(INDEX(T1_ProductType!$B:$B,MATCH(INDEX(T2_GroupSKU!$C:$C,MATCH(B313,T2_GroupSKU!$A:$A,0)),T1_ProductType!$A:$A,0)),"")</f>
        <v>Narrow Mouth Drum</v>
      </c>
      <c r="E313" s="10" t="str">
        <f t="array" ref="E313">IFERROR(INDEX(T1_ProductType!$C:$C,MATCH(INDEX(T2_GroupSKU!$C:$C,MATCH(B313,T2_GroupSKU!$A:$A,0)),T1_ProductType!$A:$A,0)),"")</f>
        <v>Drum</v>
      </c>
      <c r="F313" s="10" t="str">
        <f t="array" ref="F313">IFERROR(INDEX(T1_ProductType!$D:$D,MATCH(INDEX(T2_GroupSKU!$C:$C,MATCH(B313,T2_GroupSKU!$A:$A,0)),T1_ProductType!$A:$A,0)),"")</f>
        <v>Plastic Barrels</v>
      </c>
      <c r="G313" s="10" t="str">
        <f t="array" ref="G313">IFERROR(IF(INDEX(T1_ProductType!$E:$E,MATCH(INDEX(T2_GroupSKU!$C:$C,MATCH(B313,T2_GroupSKU!$A:$A,0)),T1_ProductType!$A:$A,0))="","-",INDEX(T1_ProductType!$E:$E,MATCH(INDEX(T2_GroupSKU!$C:$C,MATCH(B313,T2_GroupSKU!$A:$A,0)),T1_ProductType!$A:$A,0))),"-")</f>
        <v>Tight Head Drum</v>
      </c>
      <c r="H313" s="10">
        <f t="array" ref="H313">IFERROR(IF(INDEX(T2_GroupSKU!$D:$D,MATCH(B313,T2_GroupSKU!$A:$A,0))="","-",INDEX(T2_GroupSKU!$D:$D,MATCH(B313,T2_GroupSKU!$A:$A,0))),"-")</f>
        <v>220</v>
      </c>
      <c r="I313" s="10" t="str">
        <f t="array" ref="I313">IFERROR(IF(INDEX(T2_GroupSKU!$E:$E,MATCH(B313,T2_GroupSKU!$A:$A,0))="","-",INDEX(T2_GroupSKU!$E:$E,MATCH(B313,T2_GroupSKU!$A:$A,0))),"-")</f>
        <v>LTR</v>
      </c>
      <c r="J313" s="10" t="str">
        <f>T3_SKU!C313</f>
        <v>Blue / 9.15 KG</v>
      </c>
      <c r="K313" s="10" t="str">
        <f>T3_SKU!D313</f>
        <v>220 LTR BLUE N/M 9.15 KG</v>
      </c>
      <c r="L313" s="10" t="str">
        <f>T3_SKU!E313</f>
        <v>NOS</v>
      </c>
      <c r="M313" s="10" t="str">
        <f>T3_SKU!F313</f>
        <v>39233090</v>
      </c>
    </row>
    <row r="314" ht="15.0" customHeight="1">
      <c r="A314" s="10" t="str">
        <f>T3_SKU!A314</f>
        <v>NMD-220-BLU-92KG</v>
      </c>
      <c r="B314" s="10" t="str">
        <f>T3_SKU!B314</f>
        <v>NMD-220</v>
      </c>
      <c r="C314" s="10" t="str">
        <f t="array" ref="C314">IFERROR(INDEX(T2_GroupSKU!$B:$B,MATCH(B314,T2_GroupSKU!$A:$A,0)),"")</f>
        <v>Narrow Mouth Drum - 220.0 LTR</v>
      </c>
      <c r="D314" s="10" t="str">
        <f t="array" ref="D314">IFERROR(INDEX(T1_ProductType!$B:$B,MATCH(INDEX(T2_GroupSKU!$C:$C,MATCH(B314,T2_GroupSKU!$A:$A,0)),T1_ProductType!$A:$A,0)),"")</f>
        <v>Narrow Mouth Drum</v>
      </c>
      <c r="E314" s="10" t="str">
        <f t="array" ref="E314">IFERROR(INDEX(T1_ProductType!$C:$C,MATCH(INDEX(T2_GroupSKU!$C:$C,MATCH(B314,T2_GroupSKU!$A:$A,0)),T1_ProductType!$A:$A,0)),"")</f>
        <v>Drum</v>
      </c>
      <c r="F314" s="10" t="str">
        <f t="array" ref="F314">IFERROR(INDEX(T1_ProductType!$D:$D,MATCH(INDEX(T2_GroupSKU!$C:$C,MATCH(B314,T2_GroupSKU!$A:$A,0)),T1_ProductType!$A:$A,0)),"")</f>
        <v>Plastic Barrels</v>
      </c>
      <c r="G314" s="10" t="str">
        <f t="array" ref="G314">IFERROR(IF(INDEX(T1_ProductType!$E:$E,MATCH(INDEX(T2_GroupSKU!$C:$C,MATCH(B314,T2_GroupSKU!$A:$A,0)),T1_ProductType!$A:$A,0))="","-",INDEX(T1_ProductType!$E:$E,MATCH(INDEX(T2_GroupSKU!$C:$C,MATCH(B314,T2_GroupSKU!$A:$A,0)),T1_ProductType!$A:$A,0))),"-")</f>
        <v>Tight Head Drum</v>
      </c>
      <c r="H314" s="10">
        <f t="array" ref="H314">IFERROR(IF(INDEX(T2_GroupSKU!$D:$D,MATCH(B314,T2_GroupSKU!$A:$A,0))="","-",INDEX(T2_GroupSKU!$D:$D,MATCH(B314,T2_GroupSKU!$A:$A,0))),"-")</f>
        <v>220</v>
      </c>
      <c r="I314" s="10" t="str">
        <f t="array" ref="I314">IFERROR(IF(INDEX(T2_GroupSKU!$E:$E,MATCH(B314,T2_GroupSKU!$A:$A,0))="","-",INDEX(T2_GroupSKU!$E:$E,MATCH(B314,T2_GroupSKU!$A:$A,0))),"-")</f>
        <v>LTR</v>
      </c>
      <c r="J314" s="10" t="str">
        <f>T3_SKU!C314</f>
        <v>Blue / 9.2 KG</v>
      </c>
      <c r="K314" s="10" t="str">
        <f>T3_SKU!D314</f>
        <v>220 LTR BLUE N/M 9.2 KG</v>
      </c>
      <c r="L314" s="10" t="str">
        <f>T3_SKU!E314</f>
        <v>NOS</v>
      </c>
      <c r="M314" s="10" t="str">
        <f>T3_SKU!F314</f>
        <v>39233090</v>
      </c>
    </row>
    <row r="315" ht="15.0" customHeight="1">
      <c r="A315" s="10" t="str">
        <f>T3_SKU!A315</f>
        <v>NMD-220-BLU-95KG</v>
      </c>
      <c r="B315" s="10" t="str">
        <f>T3_SKU!B315</f>
        <v>NMD-220</v>
      </c>
      <c r="C315" s="10" t="str">
        <f t="array" ref="C315">IFERROR(INDEX(T2_GroupSKU!$B:$B,MATCH(B315,T2_GroupSKU!$A:$A,0)),"")</f>
        <v>Narrow Mouth Drum - 220.0 LTR</v>
      </c>
      <c r="D315" s="10" t="str">
        <f t="array" ref="D315">IFERROR(INDEX(T1_ProductType!$B:$B,MATCH(INDEX(T2_GroupSKU!$C:$C,MATCH(B315,T2_GroupSKU!$A:$A,0)),T1_ProductType!$A:$A,0)),"")</f>
        <v>Narrow Mouth Drum</v>
      </c>
      <c r="E315" s="10" t="str">
        <f t="array" ref="E315">IFERROR(INDEX(T1_ProductType!$C:$C,MATCH(INDEX(T2_GroupSKU!$C:$C,MATCH(B315,T2_GroupSKU!$A:$A,0)),T1_ProductType!$A:$A,0)),"")</f>
        <v>Drum</v>
      </c>
      <c r="F315" s="10" t="str">
        <f t="array" ref="F315">IFERROR(INDEX(T1_ProductType!$D:$D,MATCH(INDEX(T2_GroupSKU!$C:$C,MATCH(B315,T2_GroupSKU!$A:$A,0)),T1_ProductType!$A:$A,0)),"")</f>
        <v>Plastic Barrels</v>
      </c>
      <c r="G315" s="10" t="str">
        <f t="array" ref="G315">IFERROR(IF(INDEX(T1_ProductType!$E:$E,MATCH(INDEX(T2_GroupSKU!$C:$C,MATCH(B315,T2_GroupSKU!$A:$A,0)),T1_ProductType!$A:$A,0))="","-",INDEX(T1_ProductType!$E:$E,MATCH(INDEX(T2_GroupSKU!$C:$C,MATCH(B315,T2_GroupSKU!$A:$A,0)),T1_ProductType!$A:$A,0))),"-")</f>
        <v>Tight Head Drum</v>
      </c>
      <c r="H315" s="10">
        <f t="array" ref="H315">IFERROR(IF(INDEX(T2_GroupSKU!$D:$D,MATCH(B315,T2_GroupSKU!$A:$A,0))="","-",INDEX(T2_GroupSKU!$D:$D,MATCH(B315,T2_GroupSKU!$A:$A,0))),"-")</f>
        <v>220</v>
      </c>
      <c r="I315" s="10" t="str">
        <f t="array" ref="I315">IFERROR(IF(INDEX(T2_GroupSKU!$E:$E,MATCH(B315,T2_GroupSKU!$A:$A,0))="","-",INDEX(T2_GroupSKU!$E:$E,MATCH(B315,T2_GroupSKU!$A:$A,0))),"-")</f>
        <v>LTR</v>
      </c>
      <c r="J315" s="10" t="str">
        <f>T3_SKU!C315</f>
        <v>Blue / 9.5 KG</v>
      </c>
      <c r="K315" s="10" t="str">
        <f>T3_SKU!D315</f>
        <v>220 LTR BLUE N/M 9.5 KG</v>
      </c>
      <c r="L315" s="10" t="str">
        <f>T3_SKU!E315</f>
        <v>NOS</v>
      </c>
      <c r="M315" s="10" t="str">
        <f>T3_SKU!F315</f>
        <v>39233090</v>
      </c>
    </row>
    <row r="316" ht="15.0" customHeight="1">
      <c r="A316" s="10" t="str">
        <f>T3_SKU!A316</f>
        <v>NMD-230-BLU-92KG</v>
      </c>
      <c r="B316" s="10" t="str">
        <f>T3_SKU!B316</f>
        <v>NMD-230</v>
      </c>
      <c r="C316" s="10" t="str">
        <f t="array" ref="C316">IFERROR(INDEX(T2_GroupSKU!$B:$B,MATCH(B316,T2_GroupSKU!$A:$A,0)),"")</f>
        <v>Narrow Mouth Drum - 230.0 LTR</v>
      </c>
      <c r="D316" s="10" t="str">
        <f t="array" ref="D316">IFERROR(INDEX(T1_ProductType!$B:$B,MATCH(INDEX(T2_GroupSKU!$C:$C,MATCH(B316,T2_GroupSKU!$A:$A,0)),T1_ProductType!$A:$A,0)),"")</f>
        <v>Narrow Mouth Drum</v>
      </c>
      <c r="E316" s="10" t="str">
        <f t="array" ref="E316">IFERROR(INDEX(T1_ProductType!$C:$C,MATCH(INDEX(T2_GroupSKU!$C:$C,MATCH(B316,T2_GroupSKU!$A:$A,0)),T1_ProductType!$A:$A,0)),"")</f>
        <v>Drum</v>
      </c>
      <c r="F316" s="10" t="str">
        <f t="array" ref="F316">IFERROR(INDEX(T1_ProductType!$D:$D,MATCH(INDEX(T2_GroupSKU!$C:$C,MATCH(B316,T2_GroupSKU!$A:$A,0)),T1_ProductType!$A:$A,0)),"")</f>
        <v>Plastic Barrels</v>
      </c>
      <c r="G316" s="10" t="str">
        <f t="array" ref="G316">IFERROR(IF(INDEX(T1_ProductType!$E:$E,MATCH(INDEX(T2_GroupSKU!$C:$C,MATCH(B316,T2_GroupSKU!$A:$A,0)),T1_ProductType!$A:$A,0))="","-",INDEX(T1_ProductType!$E:$E,MATCH(INDEX(T2_GroupSKU!$C:$C,MATCH(B316,T2_GroupSKU!$A:$A,0)),T1_ProductType!$A:$A,0))),"-")</f>
        <v>Tight Head Drum</v>
      </c>
      <c r="H316" s="10">
        <f t="array" ref="H316">IFERROR(IF(INDEX(T2_GroupSKU!$D:$D,MATCH(B316,T2_GroupSKU!$A:$A,0))="","-",INDEX(T2_GroupSKU!$D:$D,MATCH(B316,T2_GroupSKU!$A:$A,0))),"-")</f>
        <v>230</v>
      </c>
      <c r="I316" s="10" t="str">
        <f t="array" ref="I316">IFERROR(IF(INDEX(T2_GroupSKU!$E:$E,MATCH(B316,T2_GroupSKU!$A:$A,0))="","-",INDEX(T2_GroupSKU!$E:$E,MATCH(B316,T2_GroupSKU!$A:$A,0))),"-")</f>
        <v>LTR</v>
      </c>
      <c r="J316" s="10" t="str">
        <f>T3_SKU!C316</f>
        <v>Blue / 9.2 KG</v>
      </c>
      <c r="K316" s="10" t="str">
        <f>T3_SKU!D316</f>
        <v>230 LTR BLUE N/M 9.2 KG</v>
      </c>
      <c r="L316" s="10" t="str">
        <f>T3_SKU!E316</f>
        <v>NOS</v>
      </c>
      <c r="M316" s="10" t="str">
        <f>T3_SKU!F316</f>
        <v>39233090</v>
      </c>
    </row>
    <row r="317" ht="15.0" customHeight="1">
      <c r="A317" s="10" t="str">
        <f>T3_SKU!A317</f>
        <v>NMD-235-BLU-100KG</v>
      </c>
      <c r="B317" s="10" t="str">
        <f>T3_SKU!B317</f>
        <v>NMD-235</v>
      </c>
      <c r="C317" s="10" t="str">
        <f t="array" ref="C317">IFERROR(INDEX(T2_GroupSKU!$B:$B,MATCH(B317,T2_GroupSKU!$A:$A,0)),"")</f>
        <v>Narrow Mouth Drum - 235.0 LTR</v>
      </c>
      <c r="D317" s="10" t="str">
        <f t="array" ref="D317">IFERROR(INDEX(T1_ProductType!$B:$B,MATCH(INDEX(T2_GroupSKU!$C:$C,MATCH(B317,T2_GroupSKU!$A:$A,0)),T1_ProductType!$A:$A,0)),"")</f>
        <v>Narrow Mouth Drum</v>
      </c>
      <c r="E317" s="10" t="str">
        <f t="array" ref="E317">IFERROR(INDEX(T1_ProductType!$C:$C,MATCH(INDEX(T2_GroupSKU!$C:$C,MATCH(B317,T2_GroupSKU!$A:$A,0)),T1_ProductType!$A:$A,0)),"")</f>
        <v>Drum</v>
      </c>
      <c r="F317" s="10" t="str">
        <f t="array" ref="F317">IFERROR(INDEX(T1_ProductType!$D:$D,MATCH(INDEX(T2_GroupSKU!$C:$C,MATCH(B317,T2_GroupSKU!$A:$A,0)),T1_ProductType!$A:$A,0)),"")</f>
        <v>Plastic Barrels</v>
      </c>
      <c r="G317" s="10" t="str">
        <f t="array" ref="G317">IFERROR(IF(INDEX(T1_ProductType!$E:$E,MATCH(INDEX(T2_GroupSKU!$C:$C,MATCH(B317,T2_GroupSKU!$A:$A,0)),T1_ProductType!$A:$A,0))="","-",INDEX(T1_ProductType!$E:$E,MATCH(INDEX(T2_GroupSKU!$C:$C,MATCH(B317,T2_GroupSKU!$A:$A,0)),T1_ProductType!$A:$A,0))),"-")</f>
        <v>Tight Head Drum</v>
      </c>
      <c r="H317" s="10">
        <f t="array" ref="H317">IFERROR(IF(INDEX(T2_GroupSKU!$D:$D,MATCH(B317,T2_GroupSKU!$A:$A,0))="","-",INDEX(T2_GroupSKU!$D:$D,MATCH(B317,T2_GroupSKU!$A:$A,0))),"-")</f>
        <v>235</v>
      </c>
      <c r="I317" s="10" t="str">
        <f t="array" ref="I317">IFERROR(IF(INDEX(T2_GroupSKU!$E:$E,MATCH(B317,T2_GroupSKU!$A:$A,0))="","-",INDEX(T2_GroupSKU!$E:$E,MATCH(B317,T2_GroupSKU!$A:$A,0))),"-")</f>
        <v>LTR</v>
      </c>
      <c r="J317" s="10" t="str">
        <f>T3_SKU!C317</f>
        <v>Blue / 10.0 KG</v>
      </c>
      <c r="K317" s="10" t="str">
        <f>T3_SKU!D317</f>
        <v>235 LTR BLUE N/M 10.0 KG</v>
      </c>
      <c r="L317" s="10" t="str">
        <f>T3_SKU!E317</f>
        <v>NOS</v>
      </c>
      <c r="M317" s="10" t="str">
        <f>T3_SKU!F317</f>
        <v>39233090</v>
      </c>
    </row>
    <row r="318" ht="15.0" customHeight="1">
      <c r="A318" s="10" t="str">
        <f>T3_SKU!A318</f>
        <v>NMD-235-BLU-1015KG</v>
      </c>
      <c r="B318" s="10" t="str">
        <f>T3_SKU!B318</f>
        <v>NMD-235</v>
      </c>
      <c r="C318" s="10" t="str">
        <f t="array" ref="C318">IFERROR(INDEX(T2_GroupSKU!$B:$B,MATCH(B318,T2_GroupSKU!$A:$A,0)),"")</f>
        <v>Narrow Mouth Drum - 235.0 LTR</v>
      </c>
      <c r="D318" s="10" t="str">
        <f t="array" ref="D318">IFERROR(INDEX(T1_ProductType!$B:$B,MATCH(INDEX(T2_GroupSKU!$C:$C,MATCH(B318,T2_GroupSKU!$A:$A,0)),T1_ProductType!$A:$A,0)),"")</f>
        <v>Narrow Mouth Drum</v>
      </c>
      <c r="E318" s="10" t="str">
        <f t="array" ref="E318">IFERROR(INDEX(T1_ProductType!$C:$C,MATCH(INDEX(T2_GroupSKU!$C:$C,MATCH(B318,T2_GroupSKU!$A:$A,0)),T1_ProductType!$A:$A,0)),"")</f>
        <v>Drum</v>
      </c>
      <c r="F318" s="10" t="str">
        <f t="array" ref="F318">IFERROR(INDEX(T1_ProductType!$D:$D,MATCH(INDEX(T2_GroupSKU!$C:$C,MATCH(B318,T2_GroupSKU!$A:$A,0)),T1_ProductType!$A:$A,0)),"")</f>
        <v>Plastic Barrels</v>
      </c>
      <c r="G318" s="10" t="str">
        <f t="array" ref="G318">IFERROR(IF(INDEX(T1_ProductType!$E:$E,MATCH(INDEX(T2_GroupSKU!$C:$C,MATCH(B318,T2_GroupSKU!$A:$A,0)),T1_ProductType!$A:$A,0))="","-",INDEX(T1_ProductType!$E:$E,MATCH(INDEX(T2_GroupSKU!$C:$C,MATCH(B318,T2_GroupSKU!$A:$A,0)),T1_ProductType!$A:$A,0))),"-")</f>
        <v>Tight Head Drum</v>
      </c>
      <c r="H318" s="10">
        <f t="array" ref="H318">IFERROR(IF(INDEX(T2_GroupSKU!$D:$D,MATCH(B318,T2_GroupSKU!$A:$A,0))="","-",INDEX(T2_GroupSKU!$D:$D,MATCH(B318,T2_GroupSKU!$A:$A,0))),"-")</f>
        <v>235</v>
      </c>
      <c r="I318" s="10" t="str">
        <f t="array" ref="I318">IFERROR(IF(INDEX(T2_GroupSKU!$E:$E,MATCH(B318,T2_GroupSKU!$A:$A,0))="","-",INDEX(T2_GroupSKU!$E:$E,MATCH(B318,T2_GroupSKU!$A:$A,0))),"-")</f>
        <v>LTR</v>
      </c>
      <c r="J318" s="10" t="str">
        <f>T3_SKU!C318</f>
        <v>Blue / 10.15 KG</v>
      </c>
      <c r="K318" s="10" t="str">
        <f>T3_SKU!D318</f>
        <v>235 LTR BLUE N/M 10.15 KG</v>
      </c>
      <c r="L318" s="10" t="str">
        <f>T3_SKU!E318</f>
        <v>NOS</v>
      </c>
      <c r="M318" s="10" t="str">
        <f>T3_SKU!F318</f>
        <v>39233090</v>
      </c>
    </row>
    <row r="319" ht="15.0" customHeight="1">
      <c r="A319" s="10" t="str">
        <f>T3_SKU!A319</f>
        <v>NMD-235-BLU-102KG</v>
      </c>
      <c r="B319" s="10" t="str">
        <f>T3_SKU!B319</f>
        <v>NMD-235</v>
      </c>
      <c r="C319" s="10" t="str">
        <f t="array" ref="C319">IFERROR(INDEX(T2_GroupSKU!$B:$B,MATCH(B319,T2_GroupSKU!$A:$A,0)),"")</f>
        <v>Narrow Mouth Drum - 235.0 LTR</v>
      </c>
      <c r="D319" s="10" t="str">
        <f t="array" ref="D319">IFERROR(INDEX(T1_ProductType!$B:$B,MATCH(INDEX(T2_GroupSKU!$C:$C,MATCH(B319,T2_GroupSKU!$A:$A,0)),T1_ProductType!$A:$A,0)),"")</f>
        <v>Narrow Mouth Drum</v>
      </c>
      <c r="E319" s="10" t="str">
        <f t="array" ref="E319">IFERROR(INDEX(T1_ProductType!$C:$C,MATCH(INDEX(T2_GroupSKU!$C:$C,MATCH(B319,T2_GroupSKU!$A:$A,0)),T1_ProductType!$A:$A,0)),"")</f>
        <v>Drum</v>
      </c>
      <c r="F319" s="10" t="str">
        <f t="array" ref="F319">IFERROR(INDEX(T1_ProductType!$D:$D,MATCH(INDEX(T2_GroupSKU!$C:$C,MATCH(B319,T2_GroupSKU!$A:$A,0)),T1_ProductType!$A:$A,0)),"")</f>
        <v>Plastic Barrels</v>
      </c>
      <c r="G319" s="10" t="str">
        <f t="array" ref="G319">IFERROR(IF(INDEX(T1_ProductType!$E:$E,MATCH(INDEX(T2_GroupSKU!$C:$C,MATCH(B319,T2_GroupSKU!$A:$A,0)),T1_ProductType!$A:$A,0))="","-",INDEX(T1_ProductType!$E:$E,MATCH(INDEX(T2_GroupSKU!$C:$C,MATCH(B319,T2_GroupSKU!$A:$A,0)),T1_ProductType!$A:$A,0))),"-")</f>
        <v>Tight Head Drum</v>
      </c>
      <c r="H319" s="10">
        <f t="array" ref="H319">IFERROR(IF(INDEX(T2_GroupSKU!$D:$D,MATCH(B319,T2_GroupSKU!$A:$A,0))="","-",INDEX(T2_GroupSKU!$D:$D,MATCH(B319,T2_GroupSKU!$A:$A,0))),"-")</f>
        <v>235</v>
      </c>
      <c r="I319" s="10" t="str">
        <f t="array" ref="I319">IFERROR(IF(INDEX(T2_GroupSKU!$E:$E,MATCH(B319,T2_GroupSKU!$A:$A,0))="","-",INDEX(T2_GroupSKU!$E:$E,MATCH(B319,T2_GroupSKU!$A:$A,0))),"-")</f>
        <v>LTR</v>
      </c>
      <c r="J319" s="10" t="str">
        <f>T3_SKU!C319</f>
        <v>Blue / 10.2 KG</v>
      </c>
      <c r="K319" s="10" t="str">
        <f>T3_SKU!D319</f>
        <v>235 LTR BLUE N/M 10.2 KG</v>
      </c>
      <c r="L319" s="10" t="str">
        <f>T3_SKU!E319</f>
        <v>NOS</v>
      </c>
      <c r="M319" s="10" t="str">
        <f>T3_SKU!F319</f>
        <v>39233090</v>
      </c>
    </row>
    <row r="320" ht="15.0" customHeight="1">
      <c r="A320" s="10" t="str">
        <f>T3_SKU!A320</f>
        <v>NMD-235-BLU-1055KG</v>
      </c>
      <c r="B320" s="10" t="str">
        <f>T3_SKU!B320</f>
        <v>NMD-235</v>
      </c>
      <c r="C320" s="10" t="str">
        <f t="array" ref="C320">IFERROR(INDEX(T2_GroupSKU!$B:$B,MATCH(B320,T2_GroupSKU!$A:$A,0)),"")</f>
        <v>Narrow Mouth Drum - 235.0 LTR</v>
      </c>
      <c r="D320" s="10" t="str">
        <f t="array" ref="D320">IFERROR(INDEX(T1_ProductType!$B:$B,MATCH(INDEX(T2_GroupSKU!$C:$C,MATCH(B320,T2_GroupSKU!$A:$A,0)),T1_ProductType!$A:$A,0)),"")</f>
        <v>Narrow Mouth Drum</v>
      </c>
      <c r="E320" s="10" t="str">
        <f t="array" ref="E320">IFERROR(INDEX(T1_ProductType!$C:$C,MATCH(INDEX(T2_GroupSKU!$C:$C,MATCH(B320,T2_GroupSKU!$A:$A,0)),T1_ProductType!$A:$A,0)),"")</f>
        <v>Drum</v>
      </c>
      <c r="F320" s="10" t="str">
        <f t="array" ref="F320">IFERROR(INDEX(T1_ProductType!$D:$D,MATCH(INDEX(T2_GroupSKU!$C:$C,MATCH(B320,T2_GroupSKU!$A:$A,0)),T1_ProductType!$A:$A,0)),"")</f>
        <v>Plastic Barrels</v>
      </c>
      <c r="G320" s="10" t="str">
        <f t="array" ref="G320">IFERROR(IF(INDEX(T1_ProductType!$E:$E,MATCH(INDEX(T2_GroupSKU!$C:$C,MATCH(B320,T2_GroupSKU!$A:$A,0)),T1_ProductType!$A:$A,0))="","-",INDEX(T1_ProductType!$E:$E,MATCH(INDEX(T2_GroupSKU!$C:$C,MATCH(B320,T2_GroupSKU!$A:$A,0)),T1_ProductType!$A:$A,0))),"-")</f>
        <v>Tight Head Drum</v>
      </c>
      <c r="H320" s="10">
        <f t="array" ref="H320">IFERROR(IF(INDEX(T2_GroupSKU!$D:$D,MATCH(B320,T2_GroupSKU!$A:$A,0))="","-",INDEX(T2_GroupSKU!$D:$D,MATCH(B320,T2_GroupSKU!$A:$A,0))),"-")</f>
        <v>235</v>
      </c>
      <c r="I320" s="10" t="str">
        <f t="array" ref="I320">IFERROR(IF(INDEX(T2_GroupSKU!$E:$E,MATCH(B320,T2_GroupSKU!$A:$A,0))="","-",INDEX(T2_GroupSKU!$E:$E,MATCH(B320,T2_GroupSKU!$A:$A,0))),"-")</f>
        <v>LTR</v>
      </c>
      <c r="J320" s="10" t="str">
        <f>T3_SKU!C320</f>
        <v>Blue / 10.55 KG</v>
      </c>
      <c r="K320" s="10" t="str">
        <f>T3_SKU!D320</f>
        <v>235 LTR BLUE N/M 10.55 KG</v>
      </c>
      <c r="L320" s="10" t="str">
        <f>T3_SKU!E320</f>
        <v>NOS</v>
      </c>
      <c r="M320" s="10" t="str">
        <f>T3_SKU!F320</f>
        <v>39233090</v>
      </c>
    </row>
    <row r="321" ht="15.0" customHeight="1">
      <c r="A321" s="10" t="str">
        <f>T3_SKU!A321</f>
        <v>NMD-235-BLU-105KG</v>
      </c>
      <c r="B321" s="10" t="str">
        <f>T3_SKU!B321</f>
        <v>NMD-235</v>
      </c>
      <c r="C321" s="10" t="str">
        <f t="array" ref="C321">IFERROR(INDEX(T2_GroupSKU!$B:$B,MATCH(B321,T2_GroupSKU!$A:$A,0)),"")</f>
        <v>Narrow Mouth Drum - 235.0 LTR</v>
      </c>
      <c r="D321" s="10" t="str">
        <f t="array" ref="D321">IFERROR(INDEX(T1_ProductType!$B:$B,MATCH(INDEX(T2_GroupSKU!$C:$C,MATCH(B321,T2_GroupSKU!$A:$A,0)),T1_ProductType!$A:$A,0)),"")</f>
        <v>Narrow Mouth Drum</v>
      </c>
      <c r="E321" s="10" t="str">
        <f t="array" ref="E321">IFERROR(INDEX(T1_ProductType!$C:$C,MATCH(INDEX(T2_GroupSKU!$C:$C,MATCH(B321,T2_GroupSKU!$A:$A,0)),T1_ProductType!$A:$A,0)),"")</f>
        <v>Drum</v>
      </c>
      <c r="F321" s="10" t="str">
        <f t="array" ref="F321">IFERROR(INDEX(T1_ProductType!$D:$D,MATCH(INDEX(T2_GroupSKU!$C:$C,MATCH(B321,T2_GroupSKU!$A:$A,0)),T1_ProductType!$A:$A,0)),"")</f>
        <v>Plastic Barrels</v>
      </c>
      <c r="G321" s="10" t="str">
        <f t="array" ref="G321">IFERROR(IF(INDEX(T1_ProductType!$E:$E,MATCH(INDEX(T2_GroupSKU!$C:$C,MATCH(B321,T2_GroupSKU!$A:$A,0)),T1_ProductType!$A:$A,0))="","-",INDEX(T1_ProductType!$E:$E,MATCH(INDEX(T2_GroupSKU!$C:$C,MATCH(B321,T2_GroupSKU!$A:$A,0)),T1_ProductType!$A:$A,0))),"-")</f>
        <v>Tight Head Drum</v>
      </c>
      <c r="H321" s="10">
        <f t="array" ref="H321">IFERROR(IF(INDEX(T2_GroupSKU!$D:$D,MATCH(B321,T2_GroupSKU!$A:$A,0))="","-",INDEX(T2_GroupSKU!$D:$D,MATCH(B321,T2_GroupSKU!$A:$A,0))),"-")</f>
        <v>235</v>
      </c>
      <c r="I321" s="10" t="str">
        <f t="array" ref="I321">IFERROR(IF(INDEX(T2_GroupSKU!$E:$E,MATCH(B321,T2_GroupSKU!$A:$A,0))="","-",INDEX(T2_GroupSKU!$E:$E,MATCH(B321,T2_GroupSKU!$A:$A,0))),"-")</f>
        <v>LTR</v>
      </c>
      <c r="J321" s="10" t="str">
        <f>T3_SKU!C321</f>
        <v>Blue / 10.5 KG</v>
      </c>
      <c r="K321" s="10" t="str">
        <f>T3_SKU!D321</f>
        <v>235 LTR BLUE N/M 10.5 KG</v>
      </c>
      <c r="L321" s="10" t="str">
        <f>T3_SKU!E321</f>
        <v>NOS</v>
      </c>
      <c r="M321" s="10" t="str">
        <f>T3_SKU!F321</f>
        <v>39233090</v>
      </c>
    </row>
    <row r="322" ht="15.0" customHeight="1">
      <c r="A322" s="10" t="str">
        <f>T3_SKU!A322</f>
        <v>NMD-235-BLU-106KG</v>
      </c>
      <c r="B322" s="10" t="str">
        <f>T3_SKU!B322</f>
        <v>NMD-235</v>
      </c>
      <c r="C322" s="10" t="str">
        <f t="array" ref="C322">IFERROR(INDEX(T2_GroupSKU!$B:$B,MATCH(B322,T2_GroupSKU!$A:$A,0)),"")</f>
        <v>Narrow Mouth Drum - 235.0 LTR</v>
      </c>
      <c r="D322" s="10" t="str">
        <f t="array" ref="D322">IFERROR(INDEX(T1_ProductType!$B:$B,MATCH(INDEX(T2_GroupSKU!$C:$C,MATCH(B322,T2_GroupSKU!$A:$A,0)),T1_ProductType!$A:$A,0)),"")</f>
        <v>Narrow Mouth Drum</v>
      </c>
      <c r="E322" s="10" t="str">
        <f t="array" ref="E322">IFERROR(INDEX(T1_ProductType!$C:$C,MATCH(INDEX(T2_GroupSKU!$C:$C,MATCH(B322,T2_GroupSKU!$A:$A,0)),T1_ProductType!$A:$A,0)),"")</f>
        <v>Drum</v>
      </c>
      <c r="F322" s="10" t="str">
        <f t="array" ref="F322">IFERROR(INDEX(T1_ProductType!$D:$D,MATCH(INDEX(T2_GroupSKU!$C:$C,MATCH(B322,T2_GroupSKU!$A:$A,0)),T1_ProductType!$A:$A,0)),"")</f>
        <v>Plastic Barrels</v>
      </c>
      <c r="G322" s="10" t="str">
        <f t="array" ref="G322">IFERROR(IF(INDEX(T1_ProductType!$E:$E,MATCH(INDEX(T2_GroupSKU!$C:$C,MATCH(B322,T2_GroupSKU!$A:$A,0)),T1_ProductType!$A:$A,0))="","-",INDEX(T1_ProductType!$E:$E,MATCH(INDEX(T2_GroupSKU!$C:$C,MATCH(B322,T2_GroupSKU!$A:$A,0)),T1_ProductType!$A:$A,0))),"-")</f>
        <v>Tight Head Drum</v>
      </c>
      <c r="H322" s="10">
        <f t="array" ref="H322">IFERROR(IF(INDEX(T2_GroupSKU!$D:$D,MATCH(B322,T2_GroupSKU!$A:$A,0))="","-",INDEX(T2_GroupSKU!$D:$D,MATCH(B322,T2_GroupSKU!$A:$A,0))),"-")</f>
        <v>235</v>
      </c>
      <c r="I322" s="10" t="str">
        <f t="array" ref="I322">IFERROR(IF(INDEX(T2_GroupSKU!$E:$E,MATCH(B322,T2_GroupSKU!$A:$A,0))="","-",INDEX(T2_GroupSKU!$E:$E,MATCH(B322,T2_GroupSKU!$A:$A,0))),"-")</f>
        <v>LTR</v>
      </c>
      <c r="J322" s="10" t="str">
        <f>T3_SKU!C322</f>
        <v>Blue / 10.6 KG</v>
      </c>
      <c r="K322" s="10" t="str">
        <f>T3_SKU!D322</f>
        <v>235 LTR BLUE N/M 10.6 KG</v>
      </c>
      <c r="L322" s="10" t="str">
        <f>T3_SKU!E322</f>
        <v>NOS</v>
      </c>
      <c r="M322" s="10" t="str">
        <f>T3_SKU!F322</f>
        <v>39233090</v>
      </c>
    </row>
    <row r="323" ht="15.0" customHeight="1">
      <c r="A323" s="10" t="str">
        <f>T3_SKU!A323</f>
        <v>NMD-235-BLU-78KG</v>
      </c>
      <c r="B323" s="10" t="str">
        <f>T3_SKU!B323</f>
        <v>NMD-235</v>
      </c>
      <c r="C323" s="10" t="str">
        <f t="array" ref="C323">IFERROR(INDEX(T2_GroupSKU!$B:$B,MATCH(B323,T2_GroupSKU!$A:$A,0)),"")</f>
        <v>Narrow Mouth Drum - 235.0 LTR</v>
      </c>
      <c r="D323" s="10" t="str">
        <f t="array" ref="D323">IFERROR(INDEX(T1_ProductType!$B:$B,MATCH(INDEX(T2_GroupSKU!$C:$C,MATCH(B323,T2_GroupSKU!$A:$A,0)),T1_ProductType!$A:$A,0)),"")</f>
        <v>Narrow Mouth Drum</v>
      </c>
      <c r="E323" s="10" t="str">
        <f t="array" ref="E323">IFERROR(INDEX(T1_ProductType!$C:$C,MATCH(INDEX(T2_GroupSKU!$C:$C,MATCH(B323,T2_GroupSKU!$A:$A,0)),T1_ProductType!$A:$A,0)),"")</f>
        <v>Drum</v>
      </c>
      <c r="F323" s="10" t="str">
        <f t="array" ref="F323">IFERROR(INDEX(T1_ProductType!$D:$D,MATCH(INDEX(T2_GroupSKU!$C:$C,MATCH(B323,T2_GroupSKU!$A:$A,0)),T1_ProductType!$A:$A,0)),"")</f>
        <v>Plastic Barrels</v>
      </c>
      <c r="G323" s="10" t="str">
        <f t="array" ref="G323">IFERROR(IF(INDEX(T1_ProductType!$E:$E,MATCH(INDEX(T2_GroupSKU!$C:$C,MATCH(B323,T2_GroupSKU!$A:$A,0)),T1_ProductType!$A:$A,0))="","-",INDEX(T1_ProductType!$E:$E,MATCH(INDEX(T2_GroupSKU!$C:$C,MATCH(B323,T2_GroupSKU!$A:$A,0)),T1_ProductType!$A:$A,0))),"-")</f>
        <v>Tight Head Drum</v>
      </c>
      <c r="H323" s="10">
        <f t="array" ref="H323">IFERROR(IF(INDEX(T2_GroupSKU!$D:$D,MATCH(B323,T2_GroupSKU!$A:$A,0))="","-",INDEX(T2_GroupSKU!$D:$D,MATCH(B323,T2_GroupSKU!$A:$A,0))),"-")</f>
        <v>235</v>
      </c>
      <c r="I323" s="10" t="str">
        <f t="array" ref="I323">IFERROR(IF(INDEX(T2_GroupSKU!$E:$E,MATCH(B323,T2_GroupSKU!$A:$A,0))="","-",INDEX(T2_GroupSKU!$E:$E,MATCH(B323,T2_GroupSKU!$A:$A,0))),"-")</f>
        <v>LTR</v>
      </c>
      <c r="J323" s="10" t="str">
        <f>T3_SKU!C323</f>
        <v>Blue / 7.8 KG</v>
      </c>
      <c r="K323" s="10" t="str">
        <f>T3_SKU!D323</f>
        <v>235 LTR BLUE N/M 7.8 KG</v>
      </c>
      <c r="L323" s="10" t="str">
        <f>T3_SKU!E323</f>
        <v>NOS</v>
      </c>
      <c r="M323" s="10" t="str">
        <f>T3_SKU!F323</f>
        <v>39233090</v>
      </c>
    </row>
    <row r="324" ht="15.0" customHeight="1">
      <c r="A324" s="10" t="str">
        <f>T3_SKU!A324</f>
        <v>NMD-235-BLU-815KG</v>
      </c>
      <c r="B324" s="10" t="str">
        <f>T3_SKU!B324</f>
        <v>NMD-235</v>
      </c>
      <c r="C324" s="10" t="str">
        <f t="array" ref="C324">IFERROR(INDEX(T2_GroupSKU!$B:$B,MATCH(B324,T2_GroupSKU!$A:$A,0)),"")</f>
        <v>Narrow Mouth Drum - 235.0 LTR</v>
      </c>
      <c r="D324" s="10" t="str">
        <f t="array" ref="D324">IFERROR(INDEX(T1_ProductType!$B:$B,MATCH(INDEX(T2_GroupSKU!$C:$C,MATCH(B324,T2_GroupSKU!$A:$A,0)),T1_ProductType!$A:$A,0)),"")</f>
        <v>Narrow Mouth Drum</v>
      </c>
      <c r="E324" s="10" t="str">
        <f t="array" ref="E324">IFERROR(INDEX(T1_ProductType!$C:$C,MATCH(INDEX(T2_GroupSKU!$C:$C,MATCH(B324,T2_GroupSKU!$A:$A,0)),T1_ProductType!$A:$A,0)),"")</f>
        <v>Drum</v>
      </c>
      <c r="F324" s="10" t="str">
        <f t="array" ref="F324">IFERROR(INDEX(T1_ProductType!$D:$D,MATCH(INDEX(T2_GroupSKU!$C:$C,MATCH(B324,T2_GroupSKU!$A:$A,0)),T1_ProductType!$A:$A,0)),"")</f>
        <v>Plastic Barrels</v>
      </c>
      <c r="G324" s="10" t="str">
        <f t="array" ref="G324">IFERROR(IF(INDEX(T1_ProductType!$E:$E,MATCH(INDEX(T2_GroupSKU!$C:$C,MATCH(B324,T2_GroupSKU!$A:$A,0)),T1_ProductType!$A:$A,0))="","-",INDEX(T1_ProductType!$E:$E,MATCH(INDEX(T2_GroupSKU!$C:$C,MATCH(B324,T2_GroupSKU!$A:$A,0)),T1_ProductType!$A:$A,0))),"-")</f>
        <v>Tight Head Drum</v>
      </c>
      <c r="H324" s="10">
        <f t="array" ref="H324">IFERROR(IF(INDEX(T2_GroupSKU!$D:$D,MATCH(B324,T2_GroupSKU!$A:$A,0))="","-",INDEX(T2_GroupSKU!$D:$D,MATCH(B324,T2_GroupSKU!$A:$A,0))),"-")</f>
        <v>235</v>
      </c>
      <c r="I324" s="10" t="str">
        <f t="array" ref="I324">IFERROR(IF(INDEX(T2_GroupSKU!$E:$E,MATCH(B324,T2_GroupSKU!$A:$A,0))="","-",INDEX(T2_GroupSKU!$E:$E,MATCH(B324,T2_GroupSKU!$A:$A,0))),"-")</f>
        <v>LTR</v>
      </c>
      <c r="J324" s="10" t="str">
        <f>T3_SKU!C324</f>
        <v>Blue / 8.15 KG</v>
      </c>
      <c r="K324" s="10" t="str">
        <f>T3_SKU!D324</f>
        <v>235 LTR BLUE N/M 8.15 KG</v>
      </c>
      <c r="L324" s="10" t="str">
        <f>T3_SKU!E324</f>
        <v>NOS</v>
      </c>
      <c r="M324" s="10" t="str">
        <f>T3_SKU!F324</f>
        <v>39233090</v>
      </c>
    </row>
    <row r="325" ht="15.0" customHeight="1">
      <c r="A325" s="10" t="str">
        <f>T3_SKU!A325</f>
        <v>NMD-235-BLU-82KG</v>
      </c>
      <c r="B325" s="10" t="str">
        <f>T3_SKU!B325</f>
        <v>NMD-235</v>
      </c>
      <c r="C325" s="10" t="str">
        <f t="array" ref="C325">IFERROR(INDEX(T2_GroupSKU!$B:$B,MATCH(B325,T2_GroupSKU!$A:$A,0)),"")</f>
        <v>Narrow Mouth Drum - 235.0 LTR</v>
      </c>
      <c r="D325" s="10" t="str">
        <f t="array" ref="D325">IFERROR(INDEX(T1_ProductType!$B:$B,MATCH(INDEX(T2_GroupSKU!$C:$C,MATCH(B325,T2_GroupSKU!$A:$A,0)),T1_ProductType!$A:$A,0)),"")</f>
        <v>Narrow Mouth Drum</v>
      </c>
      <c r="E325" s="10" t="str">
        <f t="array" ref="E325">IFERROR(INDEX(T1_ProductType!$C:$C,MATCH(INDEX(T2_GroupSKU!$C:$C,MATCH(B325,T2_GroupSKU!$A:$A,0)),T1_ProductType!$A:$A,0)),"")</f>
        <v>Drum</v>
      </c>
      <c r="F325" s="10" t="str">
        <f t="array" ref="F325">IFERROR(INDEX(T1_ProductType!$D:$D,MATCH(INDEX(T2_GroupSKU!$C:$C,MATCH(B325,T2_GroupSKU!$A:$A,0)),T1_ProductType!$A:$A,0)),"")</f>
        <v>Plastic Barrels</v>
      </c>
      <c r="G325" s="10" t="str">
        <f t="array" ref="G325">IFERROR(IF(INDEX(T1_ProductType!$E:$E,MATCH(INDEX(T2_GroupSKU!$C:$C,MATCH(B325,T2_GroupSKU!$A:$A,0)),T1_ProductType!$A:$A,0))="","-",INDEX(T1_ProductType!$E:$E,MATCH(INDEX(T2_GroupSKU!$C:$C,MATCH(B325,T2_GroupSKU!$A:$A,0)),T1_ProductType!$A:$A,0))),"-")</f>
        <v>Tight Head Drum</v>
      </c>
      <c r="H325" s="10">
        <f t="array" ref="H325">IFERROR(IF(INDEX(T2_GroupSKU!$D:$D,MATCH(B325,T2_GroupSKU!$A:$A,0))="","-",INDEX(T2_GroupSKU!$D:$D,MATCH(B325,T2_GroupSKU!$A:$A,0))),"-")</f>
        <v>235</v>
      </c>
      <c r="I325" s="10" t="str">
        <f t="array" ref="I325">IFERROR(IF(INDEX(T2_GroupSKU!$E:$E,MATCH(B325,T2_GroupSKU!$A:$A,0))="","-",INDEX(T2_GroupSKU!$E:$E,MATCH(B325,T2_GroupSKU!$A:$A,0))),"-")</f>
        <v>LTR</v>
      </c>
      <c r="J325" s="10" t="str">
        <f>T3_SKU!C325</f>
        <v>Blue / 8.2 KG</v>
      </c>
      <c r="K325" s="10" t="str">
        <f>T3_SKU!D325</f>
        <v>235 LTR BLUE N/M 8.2 KG</v>
      </c>
      <c r="L325" s="10" t="str">
        <f>T3_SKU!E325</f>
        <v>NOS</v>
      </c>
      <c r="M325" s="10" t="str">
        <f>T3_SKU!F325</f>
        <v>39233090</v>
      </c>
    </row>
    <row r="326" ht="15.0" customHeight="1">
      <c r="A326" s="10" t="str">
        <f>T3_SKU!A326</f>
        <v>NMD-235-BLU-845KG</v>
      </c>
      <c r="B326" s="10" t="str">
        <f>T3_SKU!B326</f>
        <v>NMD-235</v>
      </c>
      <c r="C326" s="10" t="str">
        <f t="array" ref="C326">IFERROR(INDEX(T2_GroupSKU!$B:$B,MATCH(B326,T2_GroupSKU!$A:$A,0)),"")</f>
        <v>Narrow Mouth Drum - 235.0 LTR</v>
      </c>
      <c r="D326" s="10" t="str">
        <f t="array" ref="D326">IFERROR(INDEX(T1_ProductType!$B:$B,MATCH(INDEX(T2_GroupSKU!$C:$C,MATCH(B326,T2_GroupSKU!$A:$A,0)),T1_ProductType!$A:$A,0)),"")</f>
        <v>Narrow Mouth Drum</v>
      </c>
      <c r="E326" s="10" t="str">
        <f t="array" ref="E326">IFERROR(INDEX(T1_ProductType!$C:$C,MATCH(INDEX(T2_GroupSKU!$C:$C,MATCH(B326,T2_GroupSKU!$A:$A,0)),T1_ProductType!$A:$A,0)),"")</f>
        <v>Drum</v>
      </c>
      <c r="F326" s="10" t="str">
        <f t="array" ref="F326">IFERROR(INDEX(T1_ProductType!$D:$D,MATCH(INDEX(T2_GroupSKU!$C:$C,MATCH(B326,T2_GroupSKU!$A:$A,0)),T1_ProductType!$A:$A,0)),"")</f>
        <v>Plastic Barrels</v>
      </c>
      <c r="G326" s="10" t="str">
        <f t="array" ref="G326">IFERROR(IF(INDEX(T1_ProductType!$E:$E,MATCH(INDEX(T2_GroupSKU!$C:$C,MATCH(B326,T2_GroupSKU!$A:$A,0)),T1_ProductType!$A:$A,0))="","-",INDEX(T1_ProductType!$E:$E,MATCH(INDEX(T2_GroupSKU!$C:$C,MATCH(B326,T2_GroupSKU!$A:$A,0)),T1_ProductType!$A:$A,0))),"-")</f>
        <v>Tight Head Drum</v>
      </c>
      <c r="H326" s="10">
        <f t="array" ref="H326">IFERROR(IF(INDEX(T2_GroupSKU!$D:$D,MATCH(B326,T2_GroupSKU!$A:$A,0))="","-",INDEX(T2_GroupSKU!$D:$D,MATCH(B326,T2_GroupSKU!$A:$A,0))),"-")</f>
        <v>235</v>
      </c>
      <c r="I326" s="10" t="str">
        <f t="array" ref="I326">IFERROR(IF(INDEX(T2_GroupSKU!$E:$E,MATCH(B326,T2_GroupSKU!$A:$A,0))="","-",INDEX(T2_GroupSKU!$E:$E,MATCH(B326,T2_GroupSKU!$A:$A,0))),"-")</f>
        <v>LTR</v>
      </c>
      <c r="J326" s="10" t="str">
        <f>T3_SKU!C326</f>
        <v>Blue / 8.45 KG</v>
      </c>
      <c r="K326" s="10" t="str">
        <f>T3_SKU!D326</f>
        <v>235 LTR BLUE N/M 8.45 KG</v>
      </c>
      <c r="L326" s="10" t="str">
        <f>T3_SKU!E326</f>
        <v>NOS</v>
      </c>
      <c r="M326" s="10" t="str">
        <f>T3_SKU!F326</f>
        <v>39233090</v>
      </c>
    </row>
    <row r="327" ht="15.0" customHeight="1">
      <c r="A327" s="10" t="str">
        <f>T3_SKU!A327</f>
        <v>NMD-235-BLU-85KG</v>
      </c>
      <c r="B327" s="10" t="str">
        <f>T3_SKU!B327</f>
        <v>NMD-235</v>
      </c>
      <c r="C327" s="10" t="str">
        <f t="array" ref="C327">IFERROR(INDEX(T2_GroupSKU!$B:$B,MATCH(B327,T2_GroupSKU!$A:$A,0)),"")</f>
        <v>Narrow Mouth Drum - 235.0 LTR</v>
      </c>
      <c r="D327" s="10" t="str">
        <f t="array" ref="D327">IFERROR(INDEX(T1_ProductType!$B:$B,MATCH(INDEX(T2_GroupSKU!$C:$C,MATCH(B327,T2_GroupSKU!$A:$A,0)),T1_ProductType!$A:$A,0)),"")</f>
        <v>Narrow Mouth Drum</v>
      </c>
      <c r="E327" s="10" t="str">
        <f t="array" ref="E327">IFERROR(INDEX(T1_ProductType!$C:$C,MATCH(INDEX(T2_GroupSKU!$C:$C,MATCH(B327,T2_GroupSKU!$A:$A,0)),T1_ProductType!$A:$A,0)),"")</f>
        <v>Drum</v>
      </c>
      <c r="F327" s="10" t="str">
        <f t="array" ref="F327">IFERROR(INDEX(T1_ProductType!$D:$D,MATCH(INDEX(T2_GroupSKU!$C:$C,MATCH(B327,T2_GroupSKU!$A:$A,0)),T1_ProductType!$A:$A,0)),"")</f>
        <v>Plastic Barrels</v>
      </c>
      <c r="G327" s="10" t="str">
        <f t="array" ref="G327">IFERROR(IF(INDEX(T1_ProductType!$E:$E,MATCH(INDEX(T2_GroupSKU!$C:$C,MATCH(B327,T2_GroupSKU!$A:$A,0)),T1_ProductType!$A:$A,0))="","-",INDEX(T1_ProductType!$E:$E,MATCH(INDEX(T2_GroupSKU!$C:$C,MATCH(B327,T2_GroupSKU!$A:$A,0)),T1_ProductType!$A:$A,0))),"-")</f>
        <v>Tight Head Drum</v>
      </c>
      <c r="H327" s="10">
        <f t="array" ref="H327">IFERROR(IF(INDEX(T2_GroupSKU!$D:$D,MATCH(B327,T2_GroupSKU!$A:$A,0))="","-",INDEX(T2_GroupSKU!$D:$D,MATCH(B327,T2_GroupSKU!$A:$A,0))),"-")</f>
        <v>235</v>
      </c>
      <c r="I327" s="10" t="str">
        <f t="array" ref="I327">IFERROR(IF(INDEX(T2_GroupSKU!$E:$E,MATCH(B327,T2_GroupSKU!$A:$A,0))="","-",INDEX(T2_GroupSKU!$E:$E,MATCH(B327,T2_GroupSKU!$A:$A,0))),"-")</f>
        <v>LTR</v>
      </c>
      <c r="J327" s="10" t="str">
        <f>T3_SKU!C327</f>
        <v>Blue / 8.5 KG</v>
      </c>
      <c r="K327" s="10" t="str">
        <f>T3_SKU!D327</f>
        <v>235 LTR BLUE N/M 8.5 KG</v>
      </c>
      <c r="L327" s="10" t="str">
        <f>T3_SKU!E327</f>
        <v>NOS</v>
      </c>
      <c r="M327" s="10" t="str">
        <f>T3_SKU!F327</f>
        <v>39233090</v>
      </c>
    </row>
    <row r="328" ht="15.0" customHeight="1">
      <c r="A328" s="10" t="str">
        <f>T3_SKU!A328</f>
        <v>NMD-235-BLU-895KG</v>
      </c>
      <c r="B328" s="10" t="str">
        <f>T3_SKU!B328</f>
        <v>NMD-235</v>
      </c>
      <c r="C328" s="10" t="str">
        <f t="array" ref="C328">IFERROR(INDEX(T2_GroupSKU!$B:$B,MATCH(B328,T2_GroupSKU!$A:$A,0)),"")</f>
        <v>Narrow Mouth Drum - 235.0 LTR</v>
      </c>
      <c r="D328" s="10" t="str">
        <f t="array" ref="D328">IFERROR(INDEX(T1_ProductType!$B:$B,MATCH(INDEX(T2_GroupSKU!$C:$C,MATCH(B328,T2_GroupSKU!$A:$A,0)),T1_ProductType!$A:$A,0)),"")</f>
        <v>Narrow Mouth Drum</v>
      </c>
      <c r="E328" s="10" t="str">
        <f t="array" ref="E328">IFERROR(INDEX(T1_ProductType!$C:$C,MATCH(INDEX(T2_GroupSKU!$C:$C,MATCH(B328,T2_GroupSKU!$A:$A,0)),T1_ProductType!$A:$A,0)),"")</f>
        <v>Drum</v>
      </c>
      <c r="F328" s="10" t="str">
        <f t="array" ref="F328">IFERROR(INDEX(T1_ProductType!$D:$D,MATCH(INDEX(T2_GroupSKU!$C:$C,MATCH(B328,T2_GroupSKU!$A:$A,0)),T1_ProductType!$A:$A,0)),"")</f>
        <v>Plastic Barrels</v>
      </c>
      <c r="G328" s="10" t="str">
        <f t="array" ref="G328">IFERROR(IF(INDEX(T1_ProductType!$E:$E,MATCH(INDEX(T2_GroupSKU!$C:$C,MATCH(B328,T2_GroupSKU!$A:$A,0)),T1_ProductType!$A:$A,0))="","-",INDEX(T1_ProductType!$E:$E,MATCH(INDEX(T2_GroupSKU!$C:$C,MATCH(B328,T2_GroupSKU!$A:$A,0)),T1_ProductType!$A:$A,0))),"-")</f>
        <v>Tight Head Drum</v>
      </c>
      <c r="H328" s="10">
        <f t="array" ref="H328">IFERROR(IF(INDEX(T2_GroupSKU!$D:$D,MATCH(B328,T2_GroupSKU!$A:$A,0))="","-",INDEX(T2_GroupSKU!$D:$D,MATCH(B328,T2_GroupSKU!$A:$A,0))),"-")</f>
        <v>235</v>
      </c>
      <c r="I328" s="10" t="str">
        <f t="array" ref="I328">IFERROR(IF(INDEX(T2_GroupSKU!$E:$E,MATCH(B328,T2_GroupSKU!$A:$A,0))="","-",INDEX(T2_GroupSKU!$E:$E,MATCH(B328,T2_GroupSKU!$A:$A,0))),"-")</f>
        <v>LTR</v>
      </c>
      <c r="J328" s="10" t="str">
        <f>T3_SKU!C328</f>
        <v>Blue / 8.95 KG</v>
      </c>
      <c r="K328" s="10" t="str">
        <f>T3_SKU!D328</f>
        <v>235 LTR BLUE N/M 8.95 KG</v>
      </c>
      <c r="L328" s="10" t="str">
        <f>T3_SKU!E328</f>
        <v>NOS</v>
      </c>
      <c r="M328" s="10" t="str">
        <f>T3_SKU!F328</f>
        <v>39233090</v>
      </c>
    </row>
    <row r="329" ht="15.0" customHeight="1">
      <c r="A329" s="10" t="str">
        <f>T3_SKU!A329</f>
        <v>NMD-235-BLU-90KG</v>
      </c>
      <c r="B329" s="10" t="str">
        <f>T3_SKU!B329</f>
        <v>NMD-235</v>
      </c>
      <c r="C329" s="10" t="str">
        <f t="array" ref="C329">IFERROR(INDEX(T2_GroupSKU!$B:$B,MATCH(B329,T2_GroupSKU!$A:$A,0)),"")</f>
        <v>Narrow Mouth Drum - 235.0 LTR</v>
      </c>
      <c r="D329" s="10" t="str">
        <f t="array" ref="D329">IFERROR(INDEX(T1_ProductType!$B:$B,MATCH(INDEX(T2_GroupSKU!$C:$C,MATCH(B329,T2_GroupSKU!$A:$A,0)),T1_ProductType!$A:$A,0)),"")</f>
        <v>Narrow Mouth Drum</v>
      </c>
      <c r="E329" s="10" t="str">
        <f t="array" ref="E329">IFERROR(INDEX(T1_ProductType!$C:$C,MATCH(INDEX(T2_GroupSKU!$C:$C,MATCH(B329,T2_GroupSKU!$A:$A,0)),T1_ProductType!$A:$A,0)),"")</f>
        <v>Drum</v>
      </c>
      <c r="F329" s="10" t="str">
        <f t="array" ref="F329">IFERROR(INDEX(T1_ProductType!$D:$D,MATCH(INDEX(T2_GroupSKU!$C:$C,MATCH(B329,T2_GroupSKU!$A:$A,0)),T1_ProductType!$A:$A,0)),"")</f>
        <v>Plastic Barrels</v>
      </c>
      <c r="G329" s="10" t="str">
        <f t="array" ref="G329">IFERROR(IF(INDEX(T1_ProductType!$E:$E,MATCH(INDEX(T2_GroupSKU!$C:$C,MATCH(B329,T2_GroupSKU!$A:$A,0)),T1_ProductType!$A:$A,0))="","-",INDEX(T1_ProductType!$E:$E,MATCH(INDEX(T2_GroupSKU!$C:$C,MATCH(B329,T2_GroupSKU!$A:$A,0)),T1_ProductType!$A:$A,0))),"-")</f>
        <v>Tight Head Drum</v>
      </c>
      <c r="H329" s="10">
        <f t="array" ref="H329">IFERROR(IF(INDEX(T2_GroupSKU!$D:$D,MATCH(B329,T2_GroupSKU!$A:$A,0))="","-",INDEX(T2_GroupSKU!$D:$D,MATCH(B329,T2_GroupSKU!$A:$A,0))),"-")</f>
        <v>235</v>
      </c>
      <c r="I329" s="10" t="str">
        <f t="array" ref="I329">IFERROR(IF(INDEX(T2_GroupSKU!$E:$E,MATCH(B329,T2_GroupSKU!$A:$A,0))="","-",INDEX(T2_GroupSKU!$E:$E,MATCH(B329,T2_GroupSKU!$A:$A,0))),"-")</f>
        <v>LTR</v>
      </c>
      <c r="J329" s="10" t="str">
        <f>T3_SKU!C329</f>
        <v>Blue / 9.0 KG</v>
      </c>
      <c r="K329" s="10" t="str">
        <f>T3_SKU!D329</f>
        <v>235 LTR BLUE N/M 9.0 KG</v>
      </c>
      <c r="L329" s="10" t="str">
        <f>T3_SKU!E329</f>
        <v>NOS</v>
      </c>
      <c r="M329" s="10" t="str">
        <f>T3_SKU!F329</f>
        <v>39233090</v>
      </c>
    </row>
    <row r="330" ht="15.0" customHeight="1">
      <c r="A330" s="10" t="str">
        <f>T3_SKU!A330</f>
        <v>NMD-235-BLU-915KG</v>
      </c>
      <c r="B330" s="10" t="str">
        <f>T3_SKU!B330</f>
        <v>NMD-235</v>
      </c>
      <c r="C330" s="10" t="str">
        <f t="array" ref="C330">IFERROR(INDEX(T2_GroupSKU!$B:$B,MATCH(B330,T2_GroupSKU!$A:$A,0)),"")</f>
        <v>Narrow Mouth Drum - 235.0 LTR</v>
      </c>
      <c r="D330" s="10" t="str">
        <f t="array" ref="D330">IFERROR(INDEX(T1_ProductType!$B:$B,MATCH(INDEX(T2_GroupSKU!$C:$C,MATCH(B330,T2_GroupSKU!$A:$A,0)),T1_ProductType!$A:$A,0)),"")</f>
        <v>Narrow Mouth Drum</v>
      </c>
      <c r="E330" s="10" t="str">
        <f t="array" ref="E330">IFERROR(INDEX(T1_ProductType!$C:$C,MATCH(INDEX(T2_GroupSKU!$C:$C,MATCH(B330,T2_GroupSKU!$A:$A,0)),T1_ProductType!$A:$A,0)),"")</f>
        <v>Drum</v>
      </c>
      <c r="F330" s="10" t="str">
        <f t="array" ref="F330">IFERROR(INDEX(T1_ProductType!$D:$D,MATCH(INDEX(T2_GroupSKU!$C:$C,MATCH(B330,T2_GroupSKU!$A:$A,0)),T1_ProductType!$A:$A,0)),"")</f>
        <v>Plastic Barrels</v>
      </c>
      <c r="G330" s="10" t="str">
        <f t="array" ref="G330">IFERROR(IF(INDEX(T1_ProductType!$E:$E,MATCH(INDEX(T2_GroupSKU!$C:$C,MATCH(B330,T2_GroupSKU!$A:$A,0)),T1_ProductType!$A:$A,0))="","-",INDEX(T1_ProductType!$E:$E,MATCH(INDEX(T2_GroupSKU!$C:$C,MATCH(B330,T2_GroupSKU!$A:$A,0)),T1_ProductType!$A:$A,0))),"-")</f>
        <v>Tight Head Drum</v>
      </c>
      <c r="H330" s="10">
        <f t="array" ref="H330">IFERROR(IF(INDEX(T2_GroupSKU!$D:$D,MATCH(B330,T2_GroupSKU!$A:$A,0))="","-",INDEX(T2_GroupSKU!$D:$D,MATCH(B330,T2_GroupSKU!$A:$A,0))),"-")</f>
        <v>235</v>
      </c>
      <c r="I330" s="10" t="str">
        <f t="array" ref="I330">IFERROR(IF(INDEX(T2_GroupSKU!$E:$E,MATCH(B330,T2_GroupSKU!$A:$A,0))="","-",INDEX(T2_GroupSKU!$E:$E,MATCH(B330,T2_GroupSKU!$A:$A,0))),"-")</f>
        <v>LTR</v>
      </c>
      <c r="J330" s="10" t="str">
        <f>T3_SKU!C330</f>
        <v>Blue / 9.15 KG</v>
      </c>
      <c r="K330" s="10" t="str">
        <f>T3_SKU!D330</f>
        <v>235 LTR BLUE N/M 9.15 KG</v>
      </c>
      <c r="L330" s="10" t="str">
        <f>T3_SKU!E330</f>
        <v>NOS</v>
      </c>
      <c r="M330" s="10" t="str">
        <f>T3_SKU!F330</f>
        <v>39233090</v>
      </c>
    </row>
    <row r="331" ht="15.0" customHeight="1">
      <c r="A331" s="10" t="str">
        <f>T3_SKU!A331</f>
        <v>NMD-235-BLU-92KG</v>
      </c>
      <c r="B331" s="10" t="str">
        <f>T3_SKU!B331</f>
        <v>NMD-235</v>
      </c>
      <c r="C331" s="10" t="str">
        <f t="array" ref="C331">IFERROR(INDEX(T2_GroupSKU!$B:$B,MATCH(B331,T2_GroupSKU!$A:$A,0)),"")</f>
        <v>Narrow Mouth Drum - 235.0 LTR</v>
      </c>
      <c r="D331" s="10" t="str">
        <f t="array" ref="D331">IFERROR(INDEX(T1_ProductType!$B:$B,MATCH(INDEX(T2_GroupSKU!$C:$C,MATCH(B331,T2_GroupSKU!$A:$A,0)),T1_ProductType!$A:$A,0)),"")</f>
        <v>Narrow Mouth Drum</v>
      </c>
      <c r="E331" s="10" t="str">
        <f t="array" ref="E331">IFERROR(INDEX(T1_ProductType!$C:$C,MATCH(INDEX(T2_GroupSKU!$C:$C,MATCH(B331,T2_GroupSKU!$A:$A,0)),T1_ProductType!$A:$A,0)),"")</f>
        <v>Drum</v>
      </c>
      <c r="F331" s="10" t="str">
        <f t="array" ref="F331">IFERROR(INDEX(T1_ProductType!$D:$D,MATCH(INDEX(T2_GroupSKU!$C:$C,MATCH(B331,T2_GroupSKU!$A:$A,0)),T1_ProductType!$A:$A,0)),"")</f>
        <v>Plastic Barrels</v>
      </c>
      <c r="G331" s="10" t="str">
        <f t="array" ref="G331">IFERROR(IF(INDEX(T1_ProductType!$E:$E,MATCH(INDEX(T2_GroupSKU!$C:$C,MATCH(B331,T2_GroupSKU!$A:$A,0)),T1_ProductType!$A:$A,0))="","-",INDEX(T1_ProductType!$E:$E,MATCH(INDEX(T2_GroupSKU!$C:$C,MATCH(B331,T2_GroupSKU!$A:$A,0)),T1_ProductType!$A:$A,0))),"-")</f>
        <v>Tight Head Drum</v>
      </c>
      <c r="H331" s="10">
        <f t="array" ref="H331">IFERROR(IF(INDEX(T2_GroupSKU!$D:$D,MATCH(B331,T2_GroupSKU!$A:$A,0))="","-",INDEX(T2_GroupSKU!$D:$D,MATCH(B331,T2_GroupSKU!$A:$A,0))),"-")</f>
        <v>235</v>
      </c>
      <c r="I331" s="10" t="str">
        <f t="array" ref="I331">IFERROR(IF(INDEX(T2_GroupSKU!$E:$E,MATCH(B331,T2_GroupSKU!$A:$A,0))="","-",INDEX(T2_GroupSKU!$E:$E,MATCH(B331,T2_GroupSKU!$A:$A,0))),"-")</f>
        <v>LTR</v>
      </c>
      <c r="J331" s="10" t="str">
        <f>T3_SKU!C331</f>
        <v>Blue / 9.2 KG</v>
      </c>
      <c r="K331" s="10" t="str">
        <f>T3_SKU!D331</f>
        <v>235 LTR BLUE N/M 9.2 KG</v>
      </c>
      <c r="L331" s="10" t="str">
        <f>T3_SKU!E331</f>
        <v>NOS</v>
      </c>
      <c r="M331" s="10" t="str">
        <f>T3_SKU!F331</f>
        <v>39233090</v>
      </c>
    </row>
    <row r="332" ht="15.0" customHeight="1">
      <c r="A332" s="10" t="str">
        <f>T3_SKU!A332</f>
        <v>NMD-235-BLU-94KG</v>
      </c>
      <c r="B332" s="10" t="str">
        <f>T3_SKU!B332</f>
        <v>NMD-235</v>
      </c>
      <c r="C332" s="10" t="str">
        <f t="array" ref="C332">IFERROR(INDEX(T2_GroupSKU!$B:$B,MATCH(B332,T2_GroupSKU!$A:$A,0)),"")</f>
        <v>Narrow Mouth Drum - 235.0 LTR</v>
      </c>
      <c r="D332" s="10" t="str">
        <f t="array" ref="D332">IFERROR(INDEX(T1_ProductType!$B:$B,MATCH(INDEX(T2_GroupSKU!$C:$C,MATCH(B332,T2_GroupSKU!$A:$A,0)),T1_ProductType!$A:$A,0)),"")</f>
        <v>Narrow Mouth Drum</v>
      </c>
      <c r="E332" s="10" t="str">
        <f t="array" ref="E332">IFERROR(INDEX(T1_ProductType!$C:$C,MATCH(INDEX(T2_GroupSKU!$C:$C,MATCH(B332,T2_GroupSKU!$A:$A,0)),T1_ProductType!$A:$A,0)),"")</f>
        <v>Drum</v>
      </c>
      <c r="F332" s="10" t="str">
        <f t="array" ref="F332">IFERROR(INDEX(T1_ProductType!$D:$D,MATCH(INDEX(T2_GroupSKU!$C:$C,MATCH(B332,T2_GroupSKU!$A:$A,0)),T1_ProductType!$A:$A,0)),"")</f>
        <v>Plastic Barrels</v>
      </c>
      <c r="G332" s="10" t="str">
        <f t="array" ref="G332">IFERROR(IF(INDEX(T1_ProductType!$E:$E,MATCH(INDEX(T2_GroupSKU!$C:$C,MATCH(B332,T2_GroupSKU!$A:$A,0)),T1_ProductType!$A:$A,0))="","-",INDEX(T1_ProductType!$E:$E,MATCH(INDEX(T2_GroupSKU!$C:$C,MATCH(B332,T2_GroupSKU!$A:$A,0)),T1_ProductType!$A:$A,0))),"-")</f>
        <v>Tight Head Drum</v>
      </c>
      <c r="H332" s="10">
        <f t="array" ref="H332">IFERROR(IF(INDEX(T2_GroupSKU!$D:$D,MATCH(B332,T2_GroupSKU!$A:$A,0))="","-",INDEX(T2_GroupSKU!$D:$D,MATCH(B332,T2_GroupSKU!$A:$A,0))),"-")</f>
        <v>235</v>
      </c>
      <c r="I332" s="10" t="str">
        <f t="array" ref="I332">IFERROR(IF(INDEX(T2_GroupSKU!$E:$E,MATCH(B332,T2_GroupSKU!$A:$A,0))="","-",INDEX(T2_GroupSKU!$E:$E,MATCH(B332,T2_GroupSKU!$A:$A,0))),"-")</f>
        <v>LTR</v>
      </c>
      <c r="J332" s="10" t="str">
        <f>T3_SKU!C332</f>
        <v>Blue / 9.4 KG</v>
      </c>
      <c r="K332" s="10" t="str">
        <f>T3_SKU!D332</f>
        <v>235 LTR BLUE N/M 9.4 KG</v>
      </c>
      <c r="L332" s="10" t="str">
        <f>T3_SKU!E332</f>
        <v>NOS</v>
      </c>
      <c r="M332" s="10" t="str">
        <f>T3_SKU!F332</f>
        <v>39233090</v>
      </c>
    </row>
    <row r="333" ht="15.0" customHeight="1">
      <c r="A333" s="10" t="str">
        <f>T3_SKU!A333</f>
        <v>NMD-235-BLU-95KG</v>
      </c>
      <c r="B333" s="10" t="str">
        <f>T3_SKU!B333</f>
        <v>NMD-235</v>
      </c>
      <c r="C333" s="10" t="str">
        <f t="array" ref="C333">IFERROR(INDEX(T2_GroupSKU!$B:$B,MATCH(B333,T2_GroupSKU!$A:$A,0)),"")</f>
        <v>Narrow Mouth Drum - 235.0 LTR</v>
      </c>
      <c r="D333" s="10" t="str">
        <f t="array" ref="D333">IFERROR(INDEX(T1_ProductType!$B:$B,MATCH(INDEX(T2_GroupSKU!$C:$C,MATCH(B333,T2_GroupSKU!$A:$A,0)),T1_ProductType!$A:$A,0)),"")</f>
        <v>Narrow Mouth Drum</v>
      </c>
      <c r="E333" s="10" t="str">
        <f t="array" ref="E333">IFERROR(INDEX(T1_ProductType!$C:$C,MATCH(INDEX(T2_GroupSKU!$C:$C,MATCH(B333,T2_GroupSKU!$A:$A,0)),T1_ProductType!$A:$A,0)),"")</f>
        <v>Drum</v>
      </c>
      <c r="F333" s="10" t="str">
        <f t="array" ref="F333">IFERROR(INDEX(T1_ProductType!$D:$D,MATCH(INDEX(T2_GroupSKU!$C:$C,MATCH(B333,T2_GroupSKU!$A:$A,0)),T1_ProductType!$A:$A,0)),"")</f>
        <v>Plastic Barrels</v>
      </c>
      <c r="G333" s="10" t="str">
        <f t="array" ref="G333">IFERROR(IF(INDEX(T1_ProductType!$E:$E,MATCH(INDEX(T2_GroupSKU!$C:$C,MATCH(B333,T2_GroupSKU!$A:$A,0)),T1_ProductType!$A:$A,0))="","-",INDEX(T1_ProductType!$E:$E,MATCH(INDEX(T2_GroupSKU!$C:$C,MATCH(B333,T2_GroupSKU!$A:$A,0)),T1_ProductType!$A:$A,0))),"-")</f>
        <v>Tight Head Drum</v>
      </c>
      <c r="H333" s="10">
        <f t="array" ref="H333">IFERROR(IF(INDEX(T2_GroupSKU!$D:$D,MATCH(B333,T2_GroupSKU!$A:$A,0))="","-",INDEX(T2_GroupSKU!$D:$D,MATCH(B333,T2_GroupSKU!$A:$A,0))),"-")</f>
        <v>235</v>
      </c>
      <c r="I333" s="10" t="str">
        <f t="array" ref="I333">IFERROR(IF(INDEX(T2_GroupSKU!$E:$E,MATCH(B333,T2_GroupSKU!$A:$A,0))="","-",INDEX(T2_GroupSKU!$E:$E,MATCH(B333,T2_GroupSKU!$A:$A,0))),"-")</f>
        <v>LTR</v>
      </c>
      <c r="J333" s="10" t="str">
        <f>T3_SKU!C333</f>
        <v>Blue / 9.5 KG</v>
      </c>
      <c r="K333" s="10" t="str">
        <f>T3_SKU!D333</f>
        <v>235 LTR BLUE N/M 9.5 KG</v>
      </c>
      <c r="L333" s="10" t="str">
        <f>T3_SKU!E333</f>
        <v>NOS</v>
      </c>
      <c r="M333" s="10" t="str">
        <f>T3_SKU!F333</f>
        <v>39233090</v>
      </c>
    </row>
    <row r="334" ht="15.0" customHeight="1">
      <c r="A334" s="10" t="str">
        <f>T3_SKU!A334</f>
        <v>NMD-235-BLU-96KG</v>
      </c>
      <c r="B334" s="10" t="str">
        <f>T3_SKU!B334</f>
        <v>NMD-235</v>
      </c>
      <c r="C334" s="10" t="str">
        <f t="array" ref="C334">IFERROR(INDEX(T2_GroupSKU!$B:$B,MATCH(B334,T2_GroupSKU!$A:$A,0)),"")</f>
        <v>Narrow Mouth Drum - 235.0 LTR</v>
      </c>
      <c r="D334" s="10" t="str">
        <f t="array" ref="D334">IFERROR(INDEX(T1_ProductType!$B:$B,MATCH(INDEX(T2_GroupSKU!$C:$C,MATCH(B334,T2_GroupSKU!$A:$A,0)),T1_ProductType!$A:$A,0)),"")</f>
        <v>Narrow Mouth Drum</v>
      </c>
      <c r="E334" s="10" t="str">
        <f t="array" ref="E334">IFERROR(INDEX(T1_ProductType!$C:$C,MATCH(INDEX(T2_GroupSKU!$C:$C,MATCH(B334,T2_GroupSKU!$A:$A,0)),T1_ProductType!$A:$A,0)),"")</f>
        <v>Drum</v>
      </c>
      <c r="F334" s="10" t="str">
        <f t="array" ref="F334">IFERROR(INDEX(T1_ProductType!$D:$D,MATCH(INDEX(T2_GroupSKU!$C:$C,MATCH(B334,T2_GroupSKU!$A:$A,0)),T1_ProductType!$A:$A,0)),"")</f>
        <v>Plastic Barrels</v>
      </c>
      <c r="G334" s="10" t="str">
        <f t="array" ref="G334">IFERROR(IF(INDEX(T1_ProductType!$E:$E,MATCH(INDEX(T2_GroupSKU!$C:$C,MATCH(B334,T2_GroupSKU!$A:$A,0)),T1_ProductType!$A:$A,0))="","-",INDEX(T1_ProductType!$E:$E,MATCH(INDEX(T2_GroupSKU!$C:$C,MATCH(B334,T2_GroupSKU!$A:$A,0)),T1_ProductType!$A:$A,0))),"-")</f>
        <v>Tight Head Drum</v>
      </c>
      <c r="H334" s="10">
        <f t="array" ref="H334">IFERROR(IF(INDEX(T2_GroupSKU!$D:$D,MATCH(B334,T2_GroupSKU!$A:$A,0))="","-",INDEX(T2_GroupSKU!$D:$D,MATCH(B334,T2_GroupSKU!$A:$A,0))),"-")</f>
        <v>235</v>
      </c>
      <c r="I334" s="10" t="str">
        <f t="array" ref="I334">IFERROR(IF(INDEX(T2_GroupSKU!$E:$E,MATCH(B334,T2_GroupSKU!$A:$A,0))="","-",INDEX(T2_GroupSKU!$E:$E,MATCH(B334,T2_GroupSKU!$A:$A,0))),"-")</f>
        <v>LTR</v>
      </c>
      <c r="J334" s="10" t="str">
        <f>T3_SKU!C334</f>
        <v>Blue / 9.6 KG</v>
      </c>
      <c r="K334" s="10" t="str">
        <f>T3_SKU!D334</f>
        <v>235 LTR BLUE N/M 9.6 KG</v>
      </c>
      <c r="L334" s="10" t="str">
        <f>T3_SKU!E334</f>
        <v>NOS</v>
      </c>
      <c r="M334" s="10" t="str">
        <f>T3_SKU!F334</f>
        <v>39233090</v>
      </c>
    </row>
    <row r="335" ht="15.0" customHeight="1">
      <c r="A335" s="10" t="str">
        <f>T3_SKU!A335</f>
        <v>NMD-235-BLU-98KG</v>
      </c>
      <c r="B335" s="10" t="str">
        <f>T3_SKU!B335</f>
        <v>NMD-235</v>
      </c>
      <c r="C335" s="10" t="str">
        <f t="array" ref="C335">IFERROR(INDEX(T2_GroupSKU!$B:$B,MATCH(B335,T2_GroupSKU!$A:$A,0)),"")</f>
        <v>Narrow Mouth Drum - 235.0 LTR</v>
      </c>
      <c r="D335" s="10" t="str">
        <f t="array" ref="D335">IFERROR(INDEX(T1_ProductType!$B:$B,MATCH(INDEX(T2_GroupSKU!$C:$C,MATCH(B335,T2_GroupSKU!$A:$A,0)),T1_ProductType!$A:$A,0)),"")</f>
        <v>Narrow Mouth Drum</v>
      </c>
      <c r="E335" s="10" t="str">
        <f t="array" ref="E335">IFERROR(INDEX(T1_ProductType!$C:$C,MATCH(INDEX(T2_GroupSKU!$C:$C,MATCH(B335,T2_GroupSKU!$A:$A,0)),T1_ProductType!$A:$A,0)),"")</f>
        <v>Drum</v>
      </c>
      <c r="F335" s="10" t="str">
        <f t="array" ref="F335">IFERROR(INDEX(T1_ProductType!$D:$D,MATCH(INDEX(T2_GroupSKU!$C:$C,MATCH(B335,T2_GroupSKU!$A:$A,0)),T1_ProductType!$A:$A,0)),"")</f>
        <v>Plastic Barrels</v>
      </c>
      <c r="G335" s="10" t="str">
        <f t="array" ref="G335">IFERROR(IF(INDEX(T1_ProductType!$E:$E,MATCH(INDEX(T2_GroupSKU!$C:$C,MATCH(B335,T2_GroupSKU!$A:$A,0)),T1_ProductType!$A:$A,0))="","-",INDEX(T1_ProductType!$E:$E,MATCH(INDEX(T2_GroupSKU!$C:$C,MATCH(B335,T2_GroupSKU!$A:$A,0)),T1_ProductType!$A:$A,0))),"-")</f>
        <v>Tight Head Drum</v>
      </c>
      <c r="H335" s="10">
        <f t="array" ref="H335">IFERROR(IF(INDEX(T2_GroupSKU!$D:$D,MATCH(B335,T2_GroupSKU!$A:$A,0))="","-",INDEX(T2_GroupSKU!$D:$D,MATCH(B335,T2_GroupSKU!$A:$A,0))),"-")</f>
        <v>235</v>
      </c>
      <c r="I335" s="10" t="str">
        <f t="array" ref="I335">IFERROR(IF(INDEX(T2_GroupSKU!$E:$E,MATCH(B335,T2_GroupSKU!$A:$A,0))="","-",INDEX(T2_GroupSKU!$E:$E,MATCH(B335,T2_GroupSKU!$A:$A,0))),"-")</f>
        <v>LTR</v>
      </c>
      <c r="J335" s="10" t="str">
        <f>T3_SKU!C335</f>
        <v>Blue / 9.8 KG</v>
      </c>
      <c r="K335" s="10" t="str">
        <f>T3_SKU!D335</f>
        <v>235 LTR BLUE N/M 9.8 KG</v>
      </c>
      <c r="L335" s="10" t="str">
        <f>T3_SKU!E335</f>
        <v>NOS</v>
      </c>
      <c r="M335" s="10" t="str">
        <f>T3_SKU!F335</f>
        <v>39233090</v>
      </c>
    </row>
    <row r="336" ht="15.0" customHeight="1">
      <c r="A336" s="10" t="str">
        <f>T3_SKU!A336</f>
        <v>NMD-235-GRN-85KG</v>
      </c>
      <c r="B336" s="10" t="str">
        <f>T3_SKU!B336</f>
        <v>NMD-235</v>
      </c>
      <c r="C336" s="10" t="str">
        <f t="array" ref="C336">IFERROR(INDEX(T2_GroupSKU!$B:$B,MATCH(B336,T2_GroupSKU!$A:$A,0)),"")</f>
        <v>Narrow Mouth Drum - 235.0 LTR</v>
      </c>
      <c r="D336" s="10" t="str">
        <f t="array" ref="D336">IFERROR(INDEX(T1_ProductType!$B:$B,MATCH(INDEX(T2_GroupSKU!$C:$C,MATCH(B336,T2_GroupSKU!$A:$A,0)),T1_ProductType!$A:$A,0)),"")</f>
        <v>Narrow Mouth Drum</v>
      </c>
      <c r="E336" s="10" t="str">
        <f t="array" ref="E336">IFERROR(INDEX(T1_ProductType!$C:$C,MATCH(INDEX(T2_GroupSKU!$C:$C,MATCH(B336,T2_GroupSKU!$A:$A,0)),T1_ProductType!$A:$A,0)),"")</f>
        <v>Drum</v>
      </c>
      <c r="F336" s="10" t="str">
        <f t="array" ref="F336">IFERROR(INDEX(T1_ProductType!$D:$D,MATCH(INDEX(T2_GroupSKU!$C:$C,MATCH(B336,T2_GroupSKU!$A:$A,0)),T1_ProductType!$A:$A,0)),"")</f>
        <v>Plastic Barrels</v>
      </c>
      <c r="G336" s="10" t="str">
        <f t="array" ref="G336">IFERROR(IF(INDEX(T1_ProductType!$E:$E,MATCH(INDEX(T2_GroupSKU!$C:$C,MATCH(B336,T2_GroupSKU!$A:$A,0)),T1_ProductType!$A:$A,0))="","-",INDEX(T1_ProductType!$E:$E,MATCH(INDEX(T2_GroupSKU!$C:$C,MATCH(B336,T2_GroupSKU!$A:$A,0)),T1_ProductType!$A:$A,0))),"-")</f>
        <v>Tight Head Drum</v>
      </c>
      <c r="H336" s="10">
        <f t="array" ref="H336">IFERROR(IF(INDEX(T2_GroupSKU!$D:$D,MATCH(B336,T2_GroupSKU!$A:$A,0))="","-",INDEX(T2_GroupSKU!$D:$D,MATCH(B336,T2_GroupSKU!$A:$A,0))),"-")</f>
        <v>235</v>
      </c>
      <c r="I336" s="10" t="str">
        <f t="array" ref="I336">IFERROR(IF(INDEX(T2_GroupSKU!$E:$E,MATCH(B336,T2_GroupSKU!$A:$A,0))="","-",INDEX(T2_GroupSKU!$E:$E,MATCH(B336,T2_GroupSKU!$A:$A,0))),"-")</f>
        <v>LTR</v>
      </c>
      <c r="J336" s="10" t="str">
        <f>T3_SKU!C336</f>
        <v>Green / 8.5 KG</v>
      </c>
      <c r="K336" s="10" t="str">
        <f>T3_SKU!D336</f>
        <v>235 LTR GREEN N/M 8.5 KG</v>
      </c>
      <c r="L336" s="10" t="str">
        <f>T3_SKU!E336</f>
        <v>nos</v>
      </c>
      <c r="M336" s="10" t="str">
        <f>T3_SKU!F336</f>
        <v>39233090</v>
      </c>
    </row>
    <row r="337" ht="15.0" customHeight="1">
      <c r="A337" s="10" t="str">
        <f>T3_SKU!A337</f>
        <v>NMD-235-GRN-92KG</v>
      </c>
      <c r="B337" s="10" t="str">
        <f>T3_SKU!B337</f>
        <v>NMD-235</v>
      </c>
      <c r="C337" s="10" t="str">
        <f t="array" ref="C337">IFERROR(INDEX(T2_GroupSKU!$B:$B,MATCH(B337,T2_GroupSKU!$A:$A,0)),"")</f>
        <v>Narrow Mouth Drum - 235.0 LTR</v>
      </c>
      <c r="D337" s="10" t="str">
        <f t="array" ref="D337">IFERROR(INDEX(T1_ProductType!$B:$B,MATCH(INDEX(T2_GroupSKU!$C:$C,MATCH(B337,T2_GroupSKU!$A:$A,0)),T1_ProductType!$A:$A,0)),"")</f>
        <v>Narrow Mouth Drum</v>
      </c>
      <c r="E337" s="10" t="str">
        <f t="array" ref="E337">IFERROR(INDEX(T1_ProductType!$C:$C,MATCH(INDEX(T2_GroupSKU!$C:$C,MATCH(B337,T2_GroupSKU!$A:$A,0)),T1_ProductType!$A:$A,0)),"")</f>
        <v>Drum</v>
      </c>
      <c r="F337" s="10" t="str">
        <f t="array" ref="F337">IFERROR(INDEX(T1_ProductType!$D:$D,MATCH(INDEX(T2_GroupSKU!$C:$C,MATCH(B337,T2_GroupSKU!$A:$A,0)),T1_ProductType!$A:$A,0)),"")</f>
        <v>Plastic Barrels</v>
      </c>
      <c r="G337" s="10" t="str">
        <f t="array" ref="G337">IFERROR(IF(INDEX(T1_ProductType!$E:$E,MATCH(INDEX(T2_GroupSKU!$C:$C,MATCH(B337,T2_GroupSKU!$A:$A,0)),T1_ProductType!$A:$A,0))="","-",INDEX(T1_ProductType!$E:$E,MATCH(INDEX(T2_GroupSKU!$C:$C,MATCH(B337,T2_GroupSKU!$A:$A,0)),T1_ProductType!$A:$A,0))),"-")</f>
        <v>Tight Head Drum</v>
      </c>
      <c r="H337" s="10">
        <f t="array" ref="H337">IFERROR(IF(INDEX(T2_GroupSKU!$D:$D,MATCH(B337,T2_GroupSKU!$A:$A,0))="","-",INDEX(T2_GroupSKU!$D:$D,MATCH(B337,T2_GroupSKU!$A:$A,0))),"-")</f>
        <v>235</v>
      </c>
      <c r="I337" s="10" t="str">
        <f t="array" ref="I337">IFERROR(IF(INDEX(T2_GroupSKU!$E:$E,MATCH(B337,T2_GroupSKU!$A:$A,0))="","-",INDEX(T2_GroupSKU!$E:$E,MATCH(B337,T2_GroupSKU!$A:$A,0))),"-")</f>
        <v>LTR</v>
      </c>
      <c r="J337" s="10" t="str">
        <f>T3_SKU!C337</f>
        <v>Green / 9.2 KG</v>
      </c>
      <c r="K337" s="10" t="str">
        <f>T3_SKU!D337</f>
        <v>235 LTR GREEN N/M 9.2 KG</v>
      </c>
      <c r="L337" s="10" t="str">
        <f>T3_SKU!E337</f>
        <v>NOS</v>
      </c>
      <c r="M337" s="10" t="str">
        <f>T3_SKU!F337</f>
        <v>39233090</v>
      </c>
    </row>
    <row r="338" ht="15.0" customHeight="1">
      <c r="A338" s="10" t="str">
        <f>T3_SKU!A338</f>
        <v>NMD-235-YEL-845KG</v>
      </c>
      <c r="B338" s="10" t="str">
        <f>T3_SKU!B338</f>
        <v>NMD-235</v>
      </c>
      <c r="C338" s="10" t="str">
        <f t="array" ref="C338">IFERROR(INDEX(T2_GroupSKU!$B:$B,MATCH(B338,T2_GroupSKU!$A:$A,0)),"")</f>
        <v>Narrow Mouth Drum - 235.0 LTR</v>
      </c>
      <c r="D338" s="10" t="str">
        <f t="array" ref="D338">IFERROR(INDEX(T1_ProductType!$B:$B,MATCH(INDEX(T2_GroupSKU!$C:$C,MATCH(B338,T2_GroupSKU!$A:$A,0)),T1_ProductType!$A:$A,0)),"")</f>
        <v>Narrow Mouth Drum</v>
      </c>
      <c r="E338" s="10" t="str">
        <f t="array" ref="E338">IFERROR(INDEX(T1_ProductType!$C:$C,MATCH(INDEX(T2_GroupSKU!$C:$C,MATCH(B338,T2_GroupSKU!$A:$A,0)),T1_ProductType!$A:$A,0)),"")</f>
        <v>Drum</v>
      </c>
      <c r="F338" s="10" t="str">
        <f t="array" ref="F338">IFERROR(INDEX(T1_ProductType!$D:$D,MATCH(INDEX(T2_GroupSKU!$C:$C,MATCH(B338,T2_GroupSKU!$A:$A,0)),T1_ProductType!$A:$A,0)),"")</f>
        <v>Plastic Barrels</v>
      </c>
      <c r="G338" s="10" t="str">
        <f t="array" ref="G338">IFERROR(IF(INDEX(T1_ProductType!$E:$E,MATCH(INDEX(T2_GroupSKU!$C:$C,MATCH(B338,T2_GroupSKU!$A:$A,0)),T1_ProductType!$A:$A,0))="","-",INDEX(T1_ProductType!$E:$E,MATCH(INDEX(T2_GroupSKU!$C:$C,MATCH(B338,T2_GroupSKU!$A:$A,0)),T1_ProductType!$A:$A,0))),"-")</f>
        <v>Tight Head Drum</v>
      </c>
      <c r="H338" s="10">
        <f t="array" ref="H338">IFERROR(IF(INDEX(T2_GroupSKU!$D:$D,MATCH(B338,T2_GroupSKU!$A:$A,0))="","-",INDEX(T2_GroupSKU!$D:$D,MATCH(B338,T2_GroupSKU!$A:$A,0))),"-")</f>
        <v>235</v>
      </c>
      <c r="I338" s="10" t="str">
        <f t="array" ref="I338">IFERROR(IF(INDEX(T2_GroupSKU!$E:$E,MATCH(B338,T2_GroupSKU!$A:$A,0))="","-",INDEX(T2_GroupSKU!$E:$E,MATCH(B338,T2_GroupSKU!$A:$A,0))),"-")</f>
        <v>LTR</v>
      </c>
      <c r="J338" s="10" t="str">
        <f>T3_SKU!C338</f>
        <v>Yellow / 8.45 KG</v>
      </c>
      <c r="K338" s="10" t="str">
        <f>T3_SKU!D338</f>
        <v>235 LTR YELLOW N/M 8.45 KG</v>
      </c>
      <c r="L338" s="10" t="str">
        <f>T3_SKU!E338</f>
        <v>NOS</v>
      </c>
      <c r="M338" s="10" t="str">
        <f>T3_SKU!F338</f>
        <v>39233090</v>
      </c>
    </row>
    <row r="339" ht="15.0" customHeight="1">
      <c r="A339" s="10" t="str">
        <f>T3_SKU!A339</f>
        <v>NMD-235-YEL-85KG</v>
      </c>
      <c r="B339" s="10" t="str">
        <f>T3_SKU!B339</f>
        <v>NMD-235</v>
      </c>
      <c r="C339" s="10" t="str">
        <f t="array" ref="C339">IFERROR(INDEX(T2_GroupSKU!$B:$B,MATCH(B339,T2_GroupSKU!$A:$A,0)),"")</f>
        <v>Narrow Mouth Drum - 235.0 LTR</v>
      </c>
      <c r="D339" s="10" t="str">
        <f t="array" ref="D339">IFERROR(INDEX(T1_ProductType!$B:$B,MATCH(INDEX(T2_GroupSKU!$C:$C,MATCH(B339,T2_GroupSKU!$A:$A,0)),T1_ProductType!$A:$A,0)),"")</f>
        <v>Narrow Mouth Drum</v>
      </c>
      <c r="E339" s="10" t="str">
        <f t="array" ref="E339">IFERROR(INDEX(T1_ProductType!$C:$C,MATCH(INDEX(T2_GroupSKU!$C:$C,MATCH(B339,T2_GroupSKU!$A:$A,0)),T1_ProductType!$A:$A,0)),"")</f>
        <v>Drum</v>
      </c>
      <c r="F339" s="10" t="str">
        <f t="array" ref="F339">IFERROR(INDEX(T1_ProductType!$D:$D,MATCH(INDEX(T2_GroupSKU!$C:$C,MATCH(B339,T2_GroupSKU!$A:$A,0)),T1_ProductType!$A:$A,0)),"")</f>
        <v>Plastic Barrels</v>
      </c>
      <c r="G339" s="10" t="str">
        <f t="array" ref="G339">IFERROR(IF(INDEX(T1_ProductType!$E:$E,MATCH(INDEX(T2_GroupSKU!$C:$C,MATCH(B339,T2_GroupSKU!$A:$A,0)),T1_ProductType!$A:$A,0))="","-",INDEX(T1_ProductType!$E:$E,MATCH(INDEX(T2_GroupSKU!$C:$C,MATCH(B339,T2_GroupSKU!$A:$A,0)),T1_ProductType!$A:$A,0))),"-")</f>
        <v>Tight Head Drum</v>
      </c>
      <c r="H339" s="10">
        <f t="array" ref="H339">IFERROR(IF(INDEX(T2_GroupSKU!$D:$D,MATCH(B339,T2_GroupSKU!$A:$A,0))="","-",INDEX(T2_GroupSKU!$D:$D,MATCH(B339,T2_GroupSKU!$A:$A,0))),"-")</f>
        <v>235</v>
      </c>
      <c r="I339" s="10" t="str">
        <f t="array" ref="I339">IFERROR(IF(INDEX(T2_GroupSKU!$E:$E,MATCH(B339,T2_GroupSKU!$A:$A,0))="","-",INDEX(T2_GroupSKU!$E:$E,MATCH(B339,T2_GroupSKU!$A:$A,0))),"-")</f>
        <v>LTR</v>
      </c>
      <c r="J339" s="10" t="str">
        <f>T3_SKU!C339</f>
        <v>Yellow / 8.5 KG</v>
      </c>
      <c r="K339" s="10" t="str">
        <f>T3_SKU!D339</f>
        <v>235 LTR YELLOW N/M 8.5 KG</v>
      </c>
      <c r="L339" s="10" t="str">
        <f>T3_SKU!E339</f>
        <v>NOS</v>
      </c>
      <c r="M339" s="10" t="str">
        <f>T3_SKU!F339</f>
        <v>39233090</v>
      </c>
    </row>
    <row r="340" ht="15.0" customHeight="1">
      <c r="A340" s="10" t="str">
        <f>T3_SKU!A340</f>
        <v>NMD-250-BLU-1015KG</v>
      </c>
      <c r="B340" s="10" t="str">
        <f>T3_SKU!B340</f>
        <v>NMD-250</v>
      </c>
      <c r="C340" s="10" t="str">
        <f t="array" ref="C340">IFERROR(INDEX(T2_GroupSKU!$B:$B,MATCH(B340,T2_GroupSKU!$A:$A,0)),"")</f>
        <v>Narrow Mouth Drum - 250.0 LTR</v>
      </c>
      <c r="D340" s="10" t="str">
        <f t="array" ref="D340">IFERROR(INDEX(T1_ProductType!$B:$B,MATCH(INDEX(T2_GroupSKU!$C:$C,MATCH(B340,T2_GroupSKU!$A:$A,0)),T1_ProductType!$A:$A,0)),"")</f>
        <v>Narrow Mouth Drum</v>
      </c>
      <c r="E340" s="10" t="str">
        <f t="array" ref="E340">IFERROR(INDEX(T1_ProductType!$C:$C,MATCH(INDEX(T2_GroupSKU!$C:$C,MATCH(B340,T2_GroupSKU!$A:$A,0)),T1_ProductType!$A:$A,0)),"")</f>
        <v>Drum</v>
      </c>
      <c r="F340" s="10" t="str">
        <f t="array" ref="F340">IFERROR(INDEX(T1_ProductType!$D:$D,MATCH(INDEX(T2_GroupSKU!$C:$C,MATCH(B340,T2_GroupSKU!$A:$A,0)),T1_ProductType!$A:$A,0)),"")</f>
        <v>Plastic Barrels</v>
      </c>
      <c r="G340" s="10" t="str">
        <f t="array" ref="G340">IFERROR(IF(INDEX(T1_ProductType!$E:$E,MATCH(INDEX(T2_GroupSKU!$C:$C,MATCH(B340,T2_GroupSKU!$A:$A,0)),T1_ProductType!$A:$A,0))="","-",INDEX(T1_ProductType!$E:$E,MATCH(INDEX(T2_GroupSKU!$C:$C,MATCH(B340,T2_GroupSKU!$A:$A,0)),T1_ProductType!$A:$A,0))),"-")</f>
        <v>Tight Head Drum</v>
      </c>
      <c r="H340" s="10">
        <f t="array" ref="H340">IFERROR(IF(INDEX(T2_GroupSKU!$D:$D,MATCH(B340,T2_GroupSKU!$A:$A,0))="","-",INDEX(T2_GroupSKU!$D:$D,MATCH(B340,T2_GroupSKU!$A:$A,0))),"-")</f>
        <v>250</v>
      </c>
      <c r="I340" s="10" t="str">
        <f t="array" ref="I340">IFERROR(IF(INDEX(T2_GroupSKU!$E:$E,MATCH(B340,T2_GroupSKU!$A:$A,0))="","-",INDEX(T2_GroupSKU!$E:$E,MATCH(B340,T2_GroupSKU!$A:$A,0))),"-")</f>
        <v>LTR</v>
      </c>
      <c r="J340" s="10" t="str">
        <f>T3_SKU!C340</f>
        <v>Blue / 10.15 KG</v>
      </c>
      <c r="K340" s="10" t="str">
        <f>T3_SKU!D340</f>
        <v>250 LTR BLUE N/M 10.15 KG</v>
      </c>
      <c r="L340" s="10" t="str">
        <f>T3_SKU!E340</f>
        <v>NOS</v>
      </c>
      <c r="M340" s="10" t="str">
        <f>T3_SKU!F340</f>
        <v>39233090</v>
      </c>
    </row>
    <row r="341" ht="15.0" customHeight="1">
      <c r="A341" s="10" t="str">
        <f>T3_SKU!A341</f>
        <v>NMD-250-BLU-102KG</v>
      </c>
      <c r="B341" s="10" t="str">
        <f>T3_SKU!B341</f>
        <v>NMD-250</v>
      </c>
      <c r="C341" s="10" t="str">
        <f t="array" ref="C341">IFERROR(INDEX(T2_GroupSKU!$B:$B,MATCH(B341,T2_GroupSKU!$A:$A,0)),"")</f>
        <v>Narrow Mouth Drum - 250.0 LTR</v>
      </c>
      <c r="D341" s="10" t="str">
        <f t="array" ref="D341">IFERROR(INDEX(T1_ProductType!$B:$B,MATCH(INDEX(T2_GroupSKU!$C:$C,MATCH(B341,T2_GroupSKU!$A:$A,0)),T1_ProductType!$A:$A,0)),"")</f>
        <v>Narrow Mouth Drum</v>
      </c>
      <c r="E341" s="10" t="str">
        <f t="array" ref="E341">IFERROR(INDEX(T1_ProductType!$C:$C,MATCH(INDEX(T2_GroupSKU!$C:$C,MATCH(B341,T2_GroupSKU!$A:$A,0)),T1_ProductType!$A:$A,0)),"")</f>
        <v>Drum</v>
      </c>
      <c r="F341" s="10" t="str">
        <f t="array" ref="F341">IFERROR(INDEX(T1_ProductType!$D:$D,MATCH(INDEX(T2_GroupSKU!$C:$C,MATCH(B341,T2_GroupSKU!$A:$A,0)),T1_ProductType!$A:$A,0)),"")</f>
        <v>Plastic Barrels</v>
      </c>
      <c r="G341" s="10" t="str">
        <f t="array" ref="G341">IFERROR(IF(INDEX(T1_ProductType!$E:$E,MATCH(INDEX(T2_GroupSKU!$C:$C,MATCH(B341,T2_GroupSKU!$A:$A,0)),T1_ProductType!$A:$A,0))="","-",INDEX(T1_ProductType!$E:$E,MATCH(INDEX(T2_GroupSKU!$C:$C,MATCH(B341,T2_GroupSKU!$A:$A,0)),T1_ProductType!$A:$A,0))),"-")</f>
        <v>Tight Head Drum</v>
      </c>
      <c r="H341" s="10">
        <f t="array" ref="H341">IFERROR(IF(INDEX(T2_GroupSKU!$D:$D,MATCH(B341,T2_GroupSKU!$A:$A,0))="","-",INDEX(T2_GroupSKU!$D:$D,MATCH(B341,T2_GroupSKU!$A:$A,0))),"-")</f>
        <v>250</v>
      </c>
      <c r="I341" s="10" t="str">
        <f t="array" ref="I341">IFERROR(IF(INDEX(T2_GroupSKU!$E:$E,MATCH(B341,T2_GroupSKU!$A:$A,0))="","-",INDEX(T2_GroupSKU!$E:$E,MATCH(B341,T2_GroupSKU!$A:$A,0))),"-")</f>
        <v>LTR</v>
      </c>
      <c r="J341" s="10" t="str">
        <f>T3_SKU!C341</f>
        <v>Blue / 10.2 KG</v>
      </c>
      <c r="K341" s="10" t="str">
        <f>T3_SKU!D341</f>
        <v>250 LTR BLUE N/M 10.2 KG</v>
      </c>
      <c r="L341" s="10" t="str">
        <f>T3_SKU!E341</f>
        <v>NOS</v>
      </c>
      <c r="M341" s="10" t="str">
        <f>T3_SKU!F341</f>
        <v>39233090</v>
      </c>
    </row>
    <row r="342" ht="15.0" customHeight="1">
      <c r="A342" s="10" t="str">
        <f>T3_SKU!A342</f>
        <v>NMD-250-BLU-28KG</v>
      </c>
      <c r="B342" s="10" t="str">
        <f>T3_SKU!B342</f>
        <v>NMD-250</v>
      </c>
      <c r="C342" s="10" t="str">
        <f t="array" ref="C342">IFERROR(INDEX(T2_GroupSKU!$B:$B,MATCH(B342,T2_GroupSKU!$A:$A,0)),"")</f>
        <v>Narrow Mouth Drum - 250.0 LTR</v>
      </c>
      <c r="D342" s="10" t="str">
        <f t="array" ref="D342">IFERROR(INDEX(T1_ProductType!$B:$B,MATCH(INDEX(T2_GroupSKU!$C:$C,MATCH(B342,T2_GroupSKU!$A:$A,0)),T1_ProductType!$A:$A,0)),"")</f>
        <v>Narrow Mouth Drum</v>
      </c>
      <c r="E342" s="10" t="str">
        <f t="array" ref="E342">IFERROR(INDEX(T1_ProductType!$C:$C,MATCH(INDEX(T2_GroupSKU!$C:$C,MATCH(B342,T2_GroupSKU!$A:$A,0)),T1_ProductType!$A:$A,0)),"")</f>
        <v>Drum</v>
      </c>
      <c r="F342" s="10" t="str">
        <f t="array" ref="F342">IFERROR(INDEX(T1_ProductType!$D:$D,MATCH(INDEX(T2_GroupSKU!$C:$C,MATCH(B342,T2_GroupSKU!$A:$A,0)),T1_ProductType!$A:$A,0)),"")</f>
        <v>Plastic Barrels</v>
      </c>
      <c r="G342" s="10" t="str">
        <f t="array" ref="G342">IFERROR(IF(INDEX(T1_ProductType!$E:$E,MATCH(INDEX(T2_GroupSKU!$C:$C,MATCH(B342,T2_GroupSKU!$A:$A,0)),T1_ProductType!$A:$A,0))="","-",INDEX(T1_ProductType!$E:$E,MATCH(INDEX(T2_GroupSKU!$C:$C,MATCH(B342,T2_GroupSKU!$A:$A,0)),T1_ProductType!$A:$A,0))),"-")</f>
        <v>Tight Head Drum</v>
      </c>
      <c r="H342" s="10">
        <f t="array" ref="H342">IFERROR(IF(INDEX(T2_GroupSKU!$D:$D,MATCH(B342,T2_GroupSKU!$A:$A,0))="","-",INDEX(T2_GroupSKU!$D:$D,MATCH(B342,T2_GroupSKU!$A:$A,0))),"-")</f>
        <v>250</v>
      </c>
      <c r="I342" s="10" t="str">
        <f t="array" ref="I342">IFERROR(IF(INDEX(T2_GroupSKU!$E:$E,MATCH(B342,T2_GroupSKU!$A:$A,0))="","-",INDEX(T2_GroupSKU!$E:$E,MATCH(B342,T2_GroupSKU!$A:$A,0))),"-")</f>
        <v>LTR</v>
      </c>
      <c r="J342" s="10" t="str">
        <f>T3_SKU!C342</f>
        <v>Blue / 2.8 KG</v>
      </c>
      <c r="K342" s="10" t="str">
        <f>T3_SKU!D342</f>
        <v>250 LTR BLUE N/M 2.8 KG</v>
      </c>
      <c r="L342" s="10" t="str">
        <f>T3_SKU!E342</f>
        <v>NOS</v>
      </c>
      <c r="M342" s="10" t="str">
        <f>T3_SKU!F342</f>
        <v>39233090</v>
      </c>
    </row>
    <row r="343" ht="15.0" customHeight="1">
      <c r="A343" s="10" t="str">
        <f>T3_SKU!A343</f>
        <v>NMD-250-BLU-85KG</v>
      </c>
      <c r="B343" s="10" t="str">
        <f>T3_SKU!B343</f>
        <v>NMD-250</v>
      </c>
      <c r="C343" s="10" t="str">
        <f t="array" ref="C343">IFERROR(INDEX(T2_GroupSKU!$B:$B,MATCH(B343,T2_GroupSKU!$A:$A,0)),"")</f>
        <v>Narrow Mouth Drum - 250.0 LTR</v>
      </c>
      <c r="D343" s="10" t="str">
        <f t="array" ref="D343">IFERROR(INDEX(T1_ProductType!$B:$B,MATCH(INDEX(T2_GroupSKU!$C:$C,MATCH(B343,T2_GroupSKU!$A:$A,0)),T1_ProductType!$A:$A,0)),"")</f>
        <v>Narrow Mouth Drum</v>
      </c>
      <c r="E343" s="10" t="str">
        <f t="array" ref="E343">IFERROR(INDEX(T1_ProductType!$C:$C,MATCH(INDEX(T2_GroupSKU!$C:$C,MATCH(B343,T2_GroupSKU!$A:$A,0)),T1_ProductType!$A:$A,0)),"")</f>
        <v>Drum</v>
      </c>
      <c r="F343" s="10" t="str">
        <f t="array" ref="F343">IFERROR(INDEX(T1_ProductType!$D:$D,MATCH(INDEX(T2_GroupSKU!$C:$C,MATCH(B343,T2_GroupSKU!$A:$A,0)),T1_ProductType!$A:$A,0)),"")</f>
        <v>Plastic Barrels</v>
      </c>
      <c r="G343" s="10" t="str">
        <f t="array" ref="G343">IFERROR(IF(INDEX(T1_ProductType!$E:$E,MATCH(INDEX(T2_GroupSKU!$C:$C,MATCH(B343,T2_GroupSKU!$A:$A,0)),T1_ProductType!$A:$A,0))="","-",INDEX(T1_ProductType!$E:$E,MATCH(INDEX(T2_GroupSKU!$C:$C,MATCH(B343,T2_GroupSKU!$A:$A,0)),T1_ProductType!$A:$A,0))),"-")</f>
        <v>Tight Head Drum</v>
      </c>
      <c r="H343" s="10">
        <f t="array" ref="H343">IFERROR(IF(INDEX(T2_GroupSKU!$D:$D,MATCH(B343,T2_GroupSKU!$A:$A,0))="","-",INDEX(T2_GroupSKU!$D:$D,MATCH(B343,T2_GroupSKU!$A:$A,0))),"-")</f>
        <v>250</v>
      </c>
      <c r="I343" s="10" t="str">
        <f t="array" ref="I343">IFERROR(IF(INDEX(T2_GroupSKU!$E:$E,MATCH(B343,T2_GroupSKU!$A:$A,0))="","-",INDEX(T2_GroupSKU!$E:$E,MATCH(B343,T2_GroupSKU!$A:$A,0))),"-")</f>
        <v>LTR</v>
      </c>
      <c r="J343" s="10" t="str">
        <f>T3_SKU!C343</f>
        <v>Blue / 8.5 KG</v>
      </c>
      <c r="K343" s="10" t="str">
        <f>T3_SKU!D343</f>
        <v>250 LTR BLUE N/M 8.5 KG</v>
      </c>
      <c r="L343" s="10" t="str">
        <f>T3_SKU!E343</f>
        <v>NOS</v>
      </c>
      <c r="M343" s="10" t="str">
        <f>T3_SKU!F343</f>
        <v>39233090</v>
      </c>
    </row>
    <row r="344" ht="15.0" customHeight="1">
      <c r="A344" s="10" t="str">
        <f>T3_SKU!A344</f>
        <v>NMD-250-BLU-895KG</v>
      </c>
      <c r="B344" s="10" t="str">
        <f>T3_SKU!B344</f>
        <v>NMD-250</v>
      </c>
      <c r="C344" s="10" t="str">
        <f t="array" ref="C344">IFERROR(INDEX(T2_GroupSKU!$B:$B,MATCH(B344,T2_GroupSKU!$A:$A,0)),"")</f>
        <v>Narrow Mouth Drum - 250.0 LTR</v>
      </c>
      <c r="D344" s="10" t="str">
        <f t="array" ref="D344">IFERROR(INDEX(T1_ProductType!$B:$B,MATCH(INDEX(T2_GroupSKU!$C:$C,MATCH(B344,T2_GroupSKU!$A:$A,0)),T1_ProductType!$A:$A,0)),"")</f>
        <v>Narrow Mouth Drum</v>
      </c>
      <c r="E344" s="10" t="str">
        <f t="array" ref="E344">IFERROR(INDEX(T1_ProductType!$C:$C,MATCH(INDEX(T2_GroupSKU!$C:$C,MATCH(B344,T2_GroupSKU!$A:$A,0)),T1_ProductType!$A:$A,0)),"")</f>
        <v>Drum</v>
      </c>
      <c r="F344" s="10" t="str">
        <f t="array" ref="F344">IFERROR(INDEX(T1_ProductType!$D:$D,MATCH(INDEX(T2_GroupSKU!$C:$C,MATCH(B344,T2_GroupSKU!$A:$A,0)),T1_ProductType!$A:$A,0)),"")</f>
        <v>Plastic Barrels</v>
      </c>
      <c r="G344" s="10" t="str">
        <f t="array" ref="G344">IFERROR(IF(INDEX(T1_ProductType!$E:$E,MATCH(INDEX(T2_GroupSKU!$C:$C,MATCH(B344,T2_GroupSKU!$A:$A,0)),T1_ProductType!$A:$A,0))="","-",INDEX(T1_ProductType!$E:$E,MATCH(INDEX(T2_GroupSKU!$C:$C,MATCH(B344,T2_GroupSKU!$A:$A,0)),T1_ProductType!$A:$A,0))),"-")</f>
        <v>Tight Head Drum</v>
      </c>
      <c r="H344" s="10">
        <f t="array" ref="H344">IFERROR(IF(INDEX(T2_GroupSKU!$D:$D,MATCH(B344,T2_GroupSKU!$A:$A,0))="","-",INDEX(T2_GroupSKU!$D:$D,MATCH(B344,T2_GroupSKU!$A:$A,0))),"-")</f>
        <v>250</v>
      </c>
      <c r="I344" s="10" t="str">
        <f t="array" ref="I344">IFERROR(IF(INDEX(T2_GroupSKU!$E:$E,MATCH(B344,T2_GroupSKU!$A:$A,0))="","-",INDEX(T2_GroupSKU!$E:$E,MATCH(B344,T2_GroupSKU!$A:$A,0))),"-")</f>
        <v>LTR</v>
      </c>
      <c r="J344" s="10" t="str">
        <f>T3_SKU!C344</f>
        <v>Blue / 8.95 KG</v>
      </c>
      <c r="K344" s="10" t="str">
        <f>T3_SKU!D344</f>
        <v>250 LTR BLUE N/M 8.95 KG</v>
      </c>
      <c r="L344" s="10" t="str">
        <f>T3_SKU!E344</f>
        <v>NOS</v>
      </c>
      <c r="M344" s="10" t="str">
        <f>T3_SKU!F344</f>
        <v>39233090</v>
      </c>
    </row>
    <row r="345" ht="15.0" customHeight="1">
      <c r="A345" s="10" t="str">
        <f>T3_SKU!A345</f>
        <v>NMD-250-BLU-90KG</v>
      </c>
      <c r="B345" s="10" t="str">
        <f>T3_SKU!B345</f>
        <v>NMD-250</v>
      </c>
      <c r="C345" s="10" t="str">
        <f t="array" ref="C345">IFERROR(INDEX(T2_GroupSKU!$B:$B,MATCH(B345,T2_GroupSKU!$A:$A,0)),"")</f>
        <v>Narrow Mouth Drum - 250.0 LTR</v>
      </c>
      <c r="D345" s="10" t="str">
        <f t="array" ref="D345">IFERROR(INDEX(T1_ProductType!$B:$B,MATCH(INDEX(T2_GroupSKU!$C:$C,MATCH(B345,T2_GroupSKU!$A:$A,0)),T1_ProductType!$A:$A,0)),"")</f>
        <v>Narrow Mouth Drum</v>
      </c>
      <c r="E345" s="10" t="str">
        <f t="array" ref="E345">IFERROR(INDEX(T1_ProductType!$C:$C,MATCH(INDEX(T2_GroupSKU!$C:$C,MATCH(B345,T2_GroupSKU!$A:$A,0)),T1_ProductType!$A:$A,0)),"")</f>
        <v>Drum</v>
      </c>
      <c r="F345" s="10" t="str">
        <f t="array" ref="F345">IFERROR(INDEX(T1_ProductType!$D:$D,MATCH(INDEX(T2_GroupSKU!$C:$C,MATCH(B345,T2_GroupSKU!$A:$A,0)),T1_ProductType!$A:$A,0)),"")</f>
        <v>Plastic Barrels</v>
      </c>
      <c r="G345" s="10" t="str">
        <f t="array" ref="G345">IFERROR(IF(INDEX(T1_ProductType!$E:$E,MATCH(INDEX(T2_GroupSKU!$C:$C,MATCH(B345,T2_GroupSKU!$A:$A,0)),T1_ProductType!$A:$A,0))="","-",INDEX(T1_ProductType!$E:$E,MATCH(INDEX(T2_GroupSKU!$C:$C,MATCH(B345,T2_GroupSKU!$A:$A,0)),T1_ProductType!$A:$A,0))),"-")</f>
        <v>Tight Head Drum</v>
      </c>
      <c r="H345" s="10">
        <f t="array" ref="H345">IFERROR(IF(INDEX(T2_GroupSKU!$D:$D,MATCH(B345,T2_GroupSKU!$A:$A,0))="","-",INDEX(T2_GroupSKU!$D:$D,MATCH(B345,T2_GroupSKU!$A:$A,0))),"-")</f>
        <v>250</v>
      </c>
      <c r="I345" s="10" t="str">
        <f t="array" ref="I345">IFERROR(IF(INDEX(T2_GroupSKU!$E:$E,MATCH(B345,T2_GroupSKU!$A:$A,0))="","-",INDEX(T2_GroupSKU!$E:$E,MATCH(B345,T2_GroupSKU!$A:$A,0))),"-")</f>
        <v>LTR</v>
      </c>
      <c r="J345" s="10" t="str">
        <f>T3_SKU!C345</f>
        <v>Blue / 9.0 KG</v>
      </c>
      <c r="K345" s="10" t="str">
        <f>T3_SKU!D345</f>
        <v>250 LTR BLUE N/M 9.0 KG</v>
      </c>
      <c r="L345" s="10" t="str">
        <f>T3_SKU!E345</f>
        <v>NOS</v>
      </c>
      <c r="M345" s="10" t="str">
        <f>T3_SKU!F345</f>
        <v>39233090</v>
      </c>
    </row>
    <row r="346" ht="15.0" customHeight="1">
      <c r="A346" s="10" t="str">
        <f>T3_SKU!A346</f>
        <v>NMD-250-BLU-915KG</v>
      </c>
      <c r="B346" s="10" t="str">
        <f>T3_SKU!B346</f>
        <v>NMD-250</v>
      </c>
      <c r="C346" s="10" t="str">
        <f t="array" ref="C346">IFERROR(INDEX(T2_GroupSKU!$B:$B,MATCH(B346,T2_GroupSKU!$A:$A,0)),"")</f>
        <v>Narrow Mouth Drum - 250.0 LTR</v>
      </c>
      <c r="D346" s="10" t="str">
        <f t="array" ref="D346">IFERROR(INDEX(T1_ProductType!$B:$B,MATCH(INDEX(T2_GroupSKU!$C:$C,MATCH(B346,T2_GroupSKU!$A:$A,0)),T1_ProductType!$A:$A,0)),"")</f>
        <v>Narrow Mouth Drum</v>
      </c>
      <c r="E346" s="10" t="str">
        <f t="array" ref="E346">IFERROR(INDEX(T1_ProductType!$C:$C,MATCH(INDEX(T2_GroupSKU!$C:$C,MATCH(B346,T2_GroupSKU!$A:$A,0)),T1_ProductType!$A:$A,0)),"")</f>
        <v>Drum</v>
      </c>
      <c r="F346" s="10" t="str">
        <f t="array" ref="F346">IFERROR(INDEX(T1_ProductType!$D:$D,MATCH(INDEX(T2_GroupSKU!$C:$C,MATCH(B346,T2_GroupSKU!$A:$A,0)),T1_ProductType!$A:$A,0)),"")</f>
        <v>Plastic Barrels</v>
      </c>
      <c r="G346" s="10" t="str">
        <f t="array" ref="G346">IFERROR(IF(INDEX(T1_ProductType!$E:$E,MATCH(INDEX(T2_GroupSKU!$C:$C,MATCH(B346,T2_GroupSKU!$A:$A,0)),T1_ProductType!$A:$A,0))="","-",INDEX(T1_ProductType!$E:$E,MATCH(INDEX(T2_GroupSKU!$C:$C,MATCH(B346,T2_GroupSKU!$A:$A,0)),T1_ProductType!$A:$A,0))),"-")</f>
        <v>Tight Head Drum</v>
      </c>
      <c r="H346" s="10">
        <f t="array" ref="H346">IFERROR(IF(INDEX(T2_GroupSKU!$D:$D,MATCH(B346,T2_GroupSKU!$A:$A,0))="","-",INDEX(T2_GroupSKU!$D:$D,MATCH(B346,T2_GroupSKU!$A:$A,0))),"-")</f>
        <v>250</v>
      </c>
      <c r="I346" s="10" t="str">
        <f t="array" ref="I346">IFERROR(IF(INDEX(T2_GroupSKU!$E:$E,MATCH(B346,T2_GroupSKU!$A:$A,0))="","-",INDEX(T2_GroupSKU!$E:$E,MATCH(B346,T2_GroupSKU!$A:$A,0))),"-")</f>
        <v>LTR</v>
      </c>
      <c r="J346" s="10" t="str">
        <f>T3_SKU!C346</f>
        <v>Blue / 9.15 KG</v>
      </c>
      <c r="K346" s="10" t="str">
        <f>T3_SKU!D346</f>
        <v>250 LTR BLUE N/M 9.15 KG</v>
      </c>
      <c r="L346" s="10" t="str">
        <f>T3_SKU!E346</f>
        <v>NOS</v>
      </c>
      <c r="M346" s="10" t="str">
        <f>T3_SKU!F346</f>
        <v>39233090</v>
      </c>
    </row>
    <row r="347" ht="15.0" customHeight="1">
      <c r="A347" s="10" t="str">
        <f>T3_SKU!A347</f>
        <v>NMD-250-BLU-92KG</v>
      </c>
      <c r="B347" s="10" t="str">
        <f>T3_SKU!B347</f>
        <v>NMD-250</v>
      </c>
      <c r="C347" s="10" t="str">
        <f t="array" ref="C347">IFERROR(INDEX(T2_GroupSKU!$B:$B,MATCH(B347,T2_GroupSKU!$A:$A,0)),"")</f>
        <v>Narrow Mouth Drum - 250.0 LTR</v>
      </c>
      <c r="D347" s="10" t="str">
        <f t="array" ref="D347">IFERROR(INDEX(T1_ProductType!$B:$B,MATCH(INDEX(T2_GroupSKU!$C:$C,MATCH(B347,T2_GroupSKU!$A:$A,0)),T1_ProductType!$A:$A,0)),"")</f>
        <v>Narrow Mouth Drum</v>
      </c>
      <c r="E347" s="10" t="str">
        <f t="array" ref="E347">IFERROR(INDEX(T1_ProductType!$C:$C,MATCH(INDEX(T2_GroupSKU!$C:$C,MATCH(B347,T2_GroupSKU!$A:$A,0)),T1_ProductType!$A:$A,0)),"")</f>
        <v>Drum</v>
      </c>
      <c r="F347" s="10" t="str">
        <f t="array" ref="F347">IFERROR(INDEX(T1_ProductType!$D:$D,MATCH(INDEX(T2_GroupSKU!$C:$C,MATCH(B347,T2_GroupSKU!$A:$A,0)),T1_ProductType!$A:$A,0)),"")</f>
        <v>Plastic Barrels</v>
      </c>
      <c r="G347" s="10" t="str">
        <f t="array" ref="G347">IFERROR(IF(INDEX(T1_ProductType!$E:$E,MATCH(INDEX(T2_GroupSKU!$C:$C,MATCH(B347,T2_GroupSKU!$A:$A,0)),T1_ProductType!$A:$A,0))="","-",INDEX(T1_ProductType!$E:$E,MATCH(INDEX(T2_GroupSKU!$C:$C,MATCH(B347,T2_GroupSKU!$A:$A,0)),T1_ProductType!$A:$A,0))),"-")</f>
        <v>Tight Head Drum</v>
      </c>
      <c r="H347" s="10">
        <f t="array" ref="H347">IFERROR(IF(INDEX(T2_GroupSKU!$D:$D,MATCH(B347,T2_GroupSKU!$A:$A,0))="","-",INDEX(T2_GroupSKU!$D:$D,MATCH(B347,T2_GroupSKU!$A:$A,0))),"-")</f>
        <v>250</v>
      </c>
      <c r="I347" s="10" t="str">
        <f t="array" ref="I347">IFERROR(IF(INDEX(T2_GroupSKU!$E:$E,MATCH(B347,T2_GroupSKU!$A:$A,0))="","-",INDEX(T2_GroupSKU!$E:$E,MATCH(B347,T2_GroupSKU!$A:$A,0))),"-")</f>
        <v>LTR</v>
      </c>
      <c r="J347" s="10" t="str">
        <f>T3_SKU!C347</f>
        <v>Blue / 9.2 KG</v>
      </c>
      <c r="K347" s="10" t="str">
        <f>T3_SKU!D347</f>
        <v>250 LTR BLUE N/M 9.2 KG</v>
      </c>
      <c r="L347" s="10" t="str">
        <f>T3_SKU!E347</f>
        <v>NOS</v>
      </c>
      <c r="M347" s="10" t="str">
        <f>T3_SKU!F347</f>
        <v>39233090</v>
      </c>
    </row>
    <row r="348" ht="15.0" customHeight="1">
      <c r="A348" s="10" t="str">
        <f>T3_SKU!A348</f>
        <v>NMD-250-BLU-945KG</v>
      </c>
      <c r="B348" s="10" t="str">
        <f>T3_SKU!B348</f>
        <v>NMD-250</v>
      </c>
      <c r="C348" s="10" t="str">
        <f t="array" ref="C348">IFERROR(INDEX(T2_GroupSKU!$B:$B,MATCH(B348,T2_GroupSKU!$A:$A,0)),"")</f>
        <v>Narrow Mouth Drum - 250.0 LTR</v>
      </c>
      <c r="D348" s="10" t="str">
        <f t="array" ref="D348">IFERROR(INDEX(T1_ProductType!$B:$B,MATCH(INDEX(T2_GroupSKU!$C:$C,MATCH(B348,T2_GroupSKU!$A:$A,0)),T1_ProductType!$A:$A,0)),"")</f>
        <v>Narrow Mouth Drum</v>
      </c>
      <c r="E348" s="10" t="str">
        <f t="array" ref="E348">IFERROR(INDEX(T1_ProductType!$C:$C,MATCH(INDEX(T2_GroupSKU!$C:$C,MATCH(B348,T2_GroupSKU!$A:$A,0)),T1_ProductType!$A:$A,0)),"")</f>
        <v>Drum</v>
      </c>
      <c r="F348" s="10" t="str">
        <f t="array" ref="F348">IFERROR(INDEX(T1_ProductType!$D:$D,MATCH(INDEX(T2_GroupSKU!$C:$C,MATCH(B348,T2_GroupSKU!$A:$A,0)),T1_ProductType!$A:$A,0)),"")</f>
        <v>Plastic Barrels</v>
      </c>
      <c r="G348" s="10" t="str">
        <f t="array" ref="G348">IFERROR(IF(INDEX(T1_ProductType!$E:$E,MATCH(INDEX(T2_GroupSKU!$C:$C,MATCH(B348,T2_GroupSKU!$A:$A,0)),T1_ProductType!$A:$A,0))="","-",INDEX(T1_ProductType!$E:$E,MATCH(INDEX(T2_GroupSKU!$C:$C,MATCH(B348,T2_GroupSKU!$A:$A,0)),T1_ProductType!$A:$A,0))),"-")</f>
        <v>Tight Head Drum</v>
      </c>
      <c r="H348" s="10">
        <f t="array" ref="H348">IFERROR(IF(INDEX(T2_GroupSKU!$D:$D,MATCH(B348,T2_GroupSKU!$A:$A,0))="","-",INDEX(T2_GroupSKU!$D:$D,MATCH(B348,T2_GroupSKU!$A:$A,0))),"-")</f>
        <v>250</v>
      </c>
      <c r="I348" s="10" t="str">
        <f t="array" ref="I348">IFERROR(IF(INDEX(T2_GroupSKU!$E:$E,MATCH(B348,T2_GroupSKU!$A:$A,0))="","-",INDEX(T2_GroupSKU!$E:$E,MATCH(B348,T2_GroupSKU!$A:$A,0))),"-")</f>
        <v>LTR</v>
      </c>
      <c r="J348" s="10" t="str">
        <f>T3_SKU!C348</f>
        <v>Blue / 9.45 KG</v>
      </c>
      <c r="K348" s="10" t="str">
        <f>T3_SKU!D348</f>
        <v>250 LTR BLUE N/M 9.45 KG</v>
      </c>
      <c r="L348" s="10" t="str">
        <f>T3_SKU!E348</f>
        <v>NOS</v>
      </c>
      <c r="M348" s="10" t="str">
        <f>T3_SKU!F348</f>
        <v>39233090</v>
      </c>
    </row>
    <row r="349" ht="15.0" customHeight="1">
      <c r="A349" s="10" t="str">
        <f>T3_SKU!A349</f>
        <v>NMD-250-BLU-95KG</v>
      </c>
      <c r="B349" s="10" t="str">
        <f>T3_SKU!B349</f>
        <v>NMD-250</v>
      </c>
      <c r="C349" s="10" t="str">
        <f t="array" ref="C349">IFERROR(INDEX(T2_GroupSKU!$B:$B,MATCH(B349,T2_GroupSKU!$A:$A,0)),"")</f>
        <v>Narrow Mouth Drum - 250.0 LTR</v>
      </c>
      <c r="D349" s="10" t="str">
        <f t="array" ref="D349">IFERROR(INDEX(T1_ProductType!$B:$B,MATCH(INDEX(T2_GroupSKU!$C:$C,MATCH(B349,T2_GroupSKU!$A:$A,0)),T1_ProductType!$A:$A,0)),"")</f>
        <v>Narrow Mouth Drum</v>
      </c>
      <c r="E349" s="10" t="str">
        <f t="array" ref="E349">IFERROR(INDEX(T1_ProductType!$C:$C,MATCH(INDEX(T2_GroupSKU!$C:$C,MATCH(B349,T2_GroupSKU!$A:$A,0)),T1_ProductType!$A:$A,0)),"")</f>
        <v>Drum</v>
      </c>
      <c r="F349" s="10" t="str">
        <f t="array" ref="F349">IFERROR(INDEX(T1_ProductType!$D:$D,MATCH(INDEX(T2_GroupSKU!$C:$C,MATCH(B349,T2_GroupSKU!$A:$A,0)),T1_ProductType!$A:$A,0)),"")</f>
        <v>Plastic Barrels</v>
      </c>
      <c r="G349" s="10" t="str">
        <f t="array" ref="G349">IFERROR(IF(INDEX(T1_ProductType!$E:$E,MATCH(INDEX(T2_GroupSKU!$C:$C,MATCH(B349,T2_GroupSKU!$A:$A,0)),T1_ProductType!$A:$A,0))="","-",INDEX(T1_ProductType!$E:$E,MATCH(INDEX(T2_GroupSKU!$C:$C,MATCH(B349,T2_GroupSKU!$A:$A,0)),T1_ProductType!$A:$A,0))),"-")</f>
        <v>Tight Head Drum</v>
      </c>
      <c r="H349" s="10">
        <f t="array" ref="H349">IFERROR(IF(INDEX(T2_GroupSKU!$D:$D,MATCH(B349,T2_GroupSKU!$A:$A,0))="","-",INDEX(T2_GroupSKU!$D:$D,MATCH(B349,T2_GroupSKU!$A:$A,0))),"-")</f>
        <v>250</v>
      </c>
      <c r="I349" s="10" t="str">
        <f t="array" ref="I349">IFERROR(IF(INDEX(T2_GroupSKU!$E:$E,MATCH(B349,T2_GroupSKU!$A:$A,0))="","-",INDEX(T2_GroupSKU!$E:$E,MATCH(B349,T2_GroupSKU!$A:$A,0))),"-")</f>
        <v>LTR</v>
      </c>
      <c r="J349" s="10" t="str">
        <f>T3_SKU!C349</f>
        <v>Blue / 9.5 KG</v>
      </c>
      <c r="K349" s="10" t="str">
        <f>T3_SKU!D349</f>
        <v>250 LTR BLUE N/M 9.5 KG</v>
      </c>
      <c r="L349" s="10" t="str">
        <f>T3_SKU!E349</f>
        <v>NOS</v>
      </c>
      <c r="M349" s="10" t="str">
        <f>T3_SKU!F349</f>
        <v>39233090</v>
      </c>
    </row>
    <row r="350" ht="15.0" customHeight="1">
      <c r="A350" s="10" t="str">
        <f>T3_SKU!A350</f>
        <v>NMD-50-BLU-216KG</v>
      </c>
      <c r="B350" s="10" t="str">
        <f>T3_SKU!B350</f>
        <v>NMD-50</v>
      </c>
      <c r="C350" s="10" t="str">
        <f t="array" ref="C350">IFERROR(INDEX(T2_GroupSKU!$B:$B,MATCH(B350,T2_GroupSKU!$A:$A,0)),"")</f>
        <v>Narrow Mouth Drum - 50.0 LTR</v>
      </c>
      <c r="D350" s="10" t="str">
        <f t="array" ref="D350">IFERROR(INDEX(T1_ProductType!$B:$B,MATCH(INDEX(T2_GroupSKU!$C:$C,MATCH(B350,T2_GroupSKU!$A:$A,0)),T1_ProductType!$A:$A,0)),"")</f>
        <v>Narrow Mouth Drum</v>
      </c>
      <c r="E350" s="10" t="str">
        <f t="array" ref="E350">IFERROR(INDEX(T1_ProductType!$C:$C,MATCH(INDEX(T2_GroupSKU!$C:$C,MATCH(B350,T2_GroupSKU!$A:$A,0)),T1_ProductType!$A:$A,0)),"")</f>
        <v>Drum</v>
      </c>
      <c r="F350" s="10" t="str">
        <f t="array" ref="F350">IFERROR(INDEX(T1_ProductType!$D:$D,MATCH(INDEX(T2_GroupSKU!$C:$C,MATCH(B350,T2_GroupSKU!$A:$A,0)),T1_ProductType!$A:$A,0)),"")</f>
        <v>Plastic Barrels</v>
      </c>
      <c r="G350" s="10" t="str">
        <f t="array" ref="G350">IFERROR(IF(INDEX(T1_ProductType!$E:$E,MATCH(INDEX(T2_GroupSKU!$C:$C,MATCH(B350,T2_GroupSKU!$A:$A,0)),T1_ProductType!$A:$A,0))="","-",INDEX(T1_ProductType!$E:$E,MATCH(INDEX(T2_GroupSKU!$C:$C,MATCH(B350,T2_GroupSKU!$A:$A,0)),T1_ProductType!$A:$A,0))),"-")</f>
        <v>Tight Head Drum</v>
      </c>
      <c r="H350" s="10">
        <f t="array" ref="H350">IFERROR(IF(INDEX(T2_GroupSKU!$D:$D,MATCH(B350,T2_GroupSKU!$A:$A,0))="","-",INDEX(T2_GroupSKU!$D:$D,MATCH(B350,T2_GroupSKU!$A:$A,0))),"-")</f>
        <v>50</v>
      </c>
      <c r="I350" s="10" t="str">
        <f t="array" ref="I350">IFERROR(IF(INDEX(T2_GroupSKU!$E:$E,MATCH(B350,T2_GroupSKU!$A:$A,0))="","-",INDEX(T2_GroupSKU!$E:$E,MATCH(B350,T2_GroupSKU!$A:$A,0))),"-")</f>
        <v>LTR</v>
      </c>
      <c r="J350" s="10" t="str">
        <f>T3_SKU!C350</f>
        <v>Blue / 2.16 KG</v>
      </c>
      <c r="K350" s="10" t="str">
        <f>T3_SKU!D350</f>
        <v>50 LTR BLUE N/M 2.16 KG</v>
      </c>
      <c r="L350" s="10" t="str">
        <f>T3_SKU!E350</f>
        <v>NOS</v>
      </c>
      <c r="M350" s="10" t="str">
        <f>T3_SKU!F350</f>
        <v>39233090</v>
      </c>
    </row>
    <row r="351" ht="15.0" customHeight="1">
      <c r="A351" s="10" t="str">
        <f>T3_SKU!A351</f>
        <v>NMD-50-BLU-226KG</v>
      </c>
      <c r="B351" s="10" t="str">
        <f>T3_SKU!B351</f>
        <v>NMD-50</v>
      </c>
      <c r="C351" s="10" t="str">
        <f t="array" ref="C351">IFERROR(INDEX(T2_GroupSKU!$B:$B,MATCH(B351,T2_GroupSKU!$A:$A,0)),"")</f>
        <v>Narrow Mouth Drum - 50.0 LTR</v>
      </c>
      <c r="D351" s="10" t="str">
        <f t="array" ref="D351">IFERROR(INDEX(T1_ProductType!$B:$B,MATCH(INDEX(T2_GroupSKU!$C:$C,MATCH(B351,T2_GroupSKU!$A:$A,0)),T1_ProductType!$A:$A,0)),"")</f>
        <v>Narrow Mouth Drum</v>
      </c>
      <c r="E351" s="10" t="str">
        <f t="array" ref="E351">IFERROR(INDEX(T1_ProductType!$C:$C,MATCH(INDEX(T2_GroupSKU!$C:$C,MATCH(B351,T2_GroupSKU!$A:$A,0)),T1_ProductType!$A:$A,0)),"")</f>
        <v>Drum</v>
      </c>
      <c r="F351" s="10" t="str">
        <f t="array" ref="F351">IFERROR(INDEX(T1_ProductType!$D:$D,MATCH(INDEX(T2_GroupSKU!$C:$C,MATCH(B351,T2_GroupSKU!$A:$A,0)),T1_ProductType!$A:$A,0)),"")</f>
        <v>Plastic Barrels</v>
      </c>
      <c r="G351" s="10" t="str">
        <f t="array" ref="G351">IFERROR(IF(INDEX(T1_ProductType!$E:$E,MATCH(INDEX(T2_GroupSKU!$C:$C,MATCH(B351,T2_GroupSKU!$A:$A,0)),T1_ProductType!$A:$A,0))="","-",INDEX(T1_ProductType!$E:$E,MATCH(INDEX(T2_GroupSKU!$C:$C,MATCH(B351,T2_GroupSKU!$A:$A,0)),T1_ProductType!$A:$A,0))),"-")</f>
        <v>Tight Head Drum</v>
      </c>
      <c r="H351" s="10">
        <f t="array" ref="H351">IFERROR(IF(INDEX(T2_GroupSKU!$D:$D,MATCH(B351,T2_GroupSKU!$A:$A,0))="","-",INDEX(T2_GroupSKU!$D:$D,MATCH(B351,T2_GroupSKU!$A:$A,0))),"-")</f>
        <v>50</v>
      </c>
      <c r="I351" s="10" t="str">
        <f t="array" ref="I351">IFERROR(IF(INDEX(T2_GroupSKU!$E:$E,MATCH(B351,T2_GroupSKU!$A:$A,0))="","-",INDEX(T2_GroupSKU!$E:$E,MATCH(B351,T2_GroupSKU!$A:$A,0))),"-")</f>
        <v>LTR</v>
      </c>
      <c r="J351" s="10" t="str">
        <f>T3_SKU!C351</f>
        <v>Blue / 2.26 KG</v>
      </c>
      <c r="K351" s="10" t="str">
        <f>T3_SKU!D351</f>
        <v>50 LTR BLUE N/M 2.26 KG</v>
      </c>
      <c r="L351" s="10" t="str">
        <f>T3_SKU!E351</f>
        <v>NOS</v>
      </c>
      <c r="M351" s="10" t="str">
        <f>T3_SKU!F351</f>
        <v>39233090</v>
      </c>
    </row>
    <row r="352" ht="15.0" customHeight="1">
      <c r="A352" s="10" t="str">
        <f>T3_SKU!A352</f>
        <v>NMD-50-BLU-236KG</v>
      </c>
      <c r="B352" s="10" t="str">
        <f>T3_SKU!B352</f>
        <v>NMD-50</v>
      </c>
      <c r="C352" s="10" t="str">
        <f t="array" ref="C352">IFERROR(INDEX(T2_GroupSKU!$B:$B,MATCH(B352,T2_GroupSKU!$A:$A,0)),"")</f>
        <v>Narrow Mouth Drum - 50.0 LTR</v>
      </c>
      <c r="D352" s="10" t="str">
        <f t="array" ref="D352">IFERROR(INDEX(T1_ProductType!$B:$B,MATCH(INDEX(T2_GroupSKU!$C:$C,MATCH(B352,T2_GroupSKU!$A:$A,0)),T1_ProductType!$A:$A,0)),"")</f>
        <v>Narrow Mouth Drum</v>
      </c>
      <c r="E352" s="10" t="str">
        <f t="array" ref="E352">IFERROR(INDEX(T1_ProductType!$C:$C,MATCH(INDEX(T2_GroupSKU!$C:$C,MATCH(B352,T2_GroupSKU!$A:$A,0)),T1_ProductType!$A:$A,0)),"")</f>
        <v>Drum</v>
      </c>
      <c r="F352" s="10" t="str">
        <f t="array" ref="F352">IFERROR(INDEX(T1_ProductType!$D:$D,MATCH(INDEX(T2_GroupSKU!$C:$C,MATCH(B352,T2_GroupSKU!$A:$A,0)),T1_ProductType!$A:$A,0)),"")</f>
        <v>Plastic Barrels</v>
      </c>
      <c r="G352" s="10" t="str">
        <f t="array" ref="G352">IFERROR(IF(INDEX(T1_ProductType!$E:$E,MATCH(INDEX(T2_GroupSKU!$C:$C,MATCH(B352,T2_GroupSKU!$A:$A,0)),T1_ProductType!$A:$A,0))="","-",INDEX(T1_ProductType!$E:$E,MATCH(INDEX(T2_GroupSKU!$C:$C,MATCH(B352,T2_GroupSKU!$A:$A,0)),T1_ProductType!$A:$A,0))),"-")</f>
        <v>Tight Head Drum</v>
      </c>
      <c r="H352" s="10">
        <f t="array" ref="H352">IFERROR(IF(INDEX(T2_GroupSKU!$D:$D,MATCH(B352,T2_GroupSKU!$A:$A,0))="","-",INDEX(T2_GroupSKU!$D:$D,MATCH(B352,T2_GroupSKU!$A:$A,0))),"-")</f>
        <v>50</v>
      </c>
      <c r="I352" s="10" t="str">
        <f t="array" ref="I352">IFERROR(IF(INDEX(T2_GroupSKU!$E:$E,MATCH(B352,T2_GroupSKU!$A:$A,0))="","-",INDEX(T2_GroupSKU!$E:$E,MATCH(B352,T2_GroupSKU!$A:$A,0))),"-")</f>
        <v>LTR</v>
      </c>
      <c r="J352" s="10" t="str">
        <f>T3_SKU!C352</f>
        <v>Blue / 2.36 KG</v>
      </c>
      <c r="K352" s="10" t="str">
        <f>T3_SKU!D352</f>
        <v>50 LTR BLUE N/M 2.36 KG</v>
      </c>
      <c r="L352" s="10" t="str">
        <f>T3_SKU!E352</f>
        <v>NOS</v>
      </c>
      <c r="M352" s="10" t="str">
        <f>T3_SKU!F352</f>
        <v>39233090</v>
      </c>
    </row>
    <row r="353" ht="15.0" customHeight="1">
      <c r="A353" s="10" t="str">
        <f>T3_SKU!A353</f>
        <v>NMD-50-BLU-246KG</v>
      </c>
      <c r="B353" s="10" t="str">
        <f>T3_SKU!B353</f>
        <v>NMD-50</v>
      </c>
      <c r="C353" s="10" t="str">
        <f t="array" ref="C353">IFERROR(INDEX(T2_GroupSKU!$B:$B,MATCH(B353,T2_GroupSKU!$A:$A,0)),"")</f>
        <v>Narrow Mouth Drum - 50.0 LTR</v>
      </c>
      <c r="D353" s="10" t="str">
        <f t="array" ref="D353">IFERROR(INDEX(T1_ProductType!$B:$B,MATCH(INDEX(T2_GroupSKU!$C:$C,MATCH(B353,T2_GroupSKU!$A:$A,0)),T1_ProductType!$A:$A,0)),"")</f>
        <v>Narrow Mouth Drum</v>
      </c>
      <c r="E353" s="10" t="str">
        <f t="array" ref="E353">IFERROR(INDEX(T1_ProductType!$C:$C,MATCH(INDEX(T2_GroupSKU!$C:$C,MATCH(B353,T2_GroupSKU!$A:$A,0)),T1_ProductType!$A:$A,0)),"")</f>
        <v>Drum</v>
      </c>
      <c r="F353" s="10" t="str">
        <f t="array" ref="F353">IFERROR(INDEX(T1_ProductType!$D:$D,MATCH(INDEX(T2_GroupSKU!$C:$C,MATCH(B353,T2_GroupSKU!$A:$A,0)),T1_ProductType!$A:$A,0)),"")</f>
        <v>Plastic Barrels</v>
      </c>
      <c r="G353" s="10" t="str">
        <f t="array" ref="G353">IFERROR(IF(INDEX(T1_ProductType!$E:$E,MATCH(INDEX(T2_GroupSKU!$C:$C,MATCH(B353,T2_GroupSKU!$A:$A,0)),T1_ProductType!$A:$A,0))="","-",INDEX(T1_ProductType!$E:$E,MATCH(INDEX(T2_GroupSKU!$C:$C,MATCH(B353,T2_GroupSKU!$A:$A,0)),T1_ProductType!$A:$A,0))),"-")</f>
        <v>Tight Head Drum</v>
      </c>
      <c r="H353" s="10">
        <f t="array" ref="H353">IFERROR(IF(INDEX(T2_GroupSKU!$D:$D,MATCH(B353,T2_GroupSKU!$A:$A,0))="","-",INDEX(T2_GroupSKU!$D:$D,MATCH(B353,T2_GroupSKU!$A:$A,0))),"-")</f>
        <v>50</v>
      </c>
      <c r="I353" s="10" t="str">
        <f t="array" ref="I353">IFERROR(IF(INDEX(T2_GroupSKU!$E:$E,MATCH(B353,T2_GroupSKU!$A:$A,0))="","-",INDEX(T2_GroupSKU!$E:$E,MATCH(B353,T2_GroupSKU!$A:$A,0))),"-")</f>
        <v>LTR</v>
      </c>
      <c r="J353" s="10" t="str">
        <f>T3_SKU!C353</f>
        <v>Blue / 2.46 KG</v>
      </c>
      <c r="K353" s="10" t="str">
        <f>T3_SKU!D353</f>
        <v>50 LTR BLUE N/M 2.46 KG</v>
      </c>
      <c r="L353" s="10" t="str">
        <f>T3_SKU!E353</f>
        <v>NOS</v>
      </c>
      <c r="M353" s="10" t="str">
        <f>T3_SKU!F353</f>
        <v>39233090</v>
      </c>
    </row>
    <row r="354" ht="15.0" customHeight="1">
      <c r="A354" s="10" t="str">
        <f>T3_SKU!A354</f>
        <v>NMD-50-BLU-24KG</v>
      </c>
      <c r="B354" s="10" t="str">
        <f>T3_SKU!B354</f>
        <v>NMD-50</v>
      </c>
      <c r="C354" s="10" t="str">
        <f t="array" ref="C354">IFERROR(INDEX(T2_GroupSKU!$B:$B,MATCH(B354,T2_GroupSKU!$A:$A,0)),"")</f>
        <v>Narrow Mouth Drum - 50.0 LTR</v>
      </c>
      <c r="D354" s="10" t="str">
        <f t="array" ref="D354">IFERROR(INDEX(T1_ProductType!$B:$B,MATCH(INDEX(T2_GroupSKU!$C:$C,MATCH(B354,T2_GroupSKU!$A:$A,0)),T1_ProductType!$A:$A,0)),"")</f>
        <v>Narrow Mouth Drum</v>
      </c>
      <c r="E354" s="10" t="str">
        <f t="array" ref="E354">IFERROR(INDEX(T1_ProductType!$C:$C,MATCH(INDEX(T2_GroupSKU!$C:$C,MATCH(B354,T2_GroupSKU!$A:$A,0)),T1_ProductType!$A:$A,0)),"")</f>
        <v>Drum</v>
      </c>
      <c r="F354" s="10" t="str">
        <f t="array" ref="F354">IFERROR(INDEX(T1_ProductType!$D:$D,MATCH(INDEX(T2_GroupSKU!$C:$C,MATCH(B354,T2_GroupSKU!$A:$A,0)),T1_ProductType!$A:$A,0)),"")</f>
        <v>Plastic Barrels</v>
      </c>
      <c r="G354" s="10" t="str">
        <f t="array" ref="G354">IFERROR(IF(INDEX(T1_ProductType!$E:$E,MATCH(INDEX(T2_GroupSKU!$C:$C,MATCH(B354,T2_GroupSKU!$A:$A,0)),T1_ProductType!$A:$A,0))="","-",INDEX(T1_ProductType!$E:$E,MATCH(INDEX(T2_GroupSKU!$C:$C,MATCH(B354,T2_GroupSKU!$A:$A,0)),T1_ProductType!$A:$A,0))),"-")</f>
        <v>Tight Head Drum</v>
      </c>
      <c r="H354" s="10">
        <f t="array" ref="H354">IFERROR(IF(INDEX(T2_GroupSKU!$D:$D,MATCH(B354,T2_GroupSKU!$A:$A,0))="","-",INDEX(T2_GroupSKU!$D:$D,MATCH(B354,T2_GroupSKU!$A:$A,0))),"-")</f>
        <v>50</v>
      </c>
      <c r="I354" s="10" t="str">
        <f t="array" ref="I354">IFERROR(IF(INDEX(T2_GroupSKU!$E:$E,MATCH(B354,T2_GroupSKU!$A:$A,0))="","-",INDEX(T2_GroupSKU!$E:$E,MATCH(B354,T2_GroupSKU!$A:$A,0))),"-")</f>
        <v>LTR</v>
      </c>
      <c r="J354" s="10" t="str">
        <f>T3_SKU!C354</f>
        <v>Blue / 2.4 KG</v>
      </c>
      <c r="K354" s="10" t="str">
        <f>T3_SKU!D354</f>
        <v>50 LTR BLUE N/M 2.4  KG</v>
      </c>
      <c r="L354" s="10" t="str">
        <f>T3_SKU!E354</f>
        <v>NOS</v>
      </c>
      <c r="M354" s="10" t="str">
        <f>T3_SKU!F354</f>
        <v>39233090</v>
      </c>
    </row>
    <row r="355" ht="15.0" customHeight="1">
      <c r="A355" s="10" t="str">
        <f>T3_SKU!A355</f>
        <v>NMD-50-BLU-256KG</v>
      </c>
      <c r="B355" s="10" t="str">
        <f>T3_SKU!B355</f>
        <v>NMD-50</v>
      </c>
      <c r="C355" s="10" t="str">
        <f t="array" ref="C355">IFERROR(INDEX(T2_GroupSKU!$B:$B,MATCH(B355,T2_GroupSKU!$A:$A,0)),"")</f>
        <v>Narrow Mouth Drum - 50.0 LTR</v>
      </c>
      <c r="D355" s="10" t="str">
        <f t="array" ref="D355">IFERROR(INDEX(T1_ProductType!$B:$B,MATCH(INDEX(T2_GroupSKU!$C:$C,MATCH(B355,T2_GroupSKU!$A:$A,0)),T1_ProductType!$A:$A,0)),"")</f>
        <v>Narrow Mouth Drum</v>
      </c>
      <c r="E355" s="10" t="str">
        <f t="array" ref="E355">IFERROR(INDEX(T1_ProductType!$C:$C,MATCH(INDEX(T2_GroupSKU!$C:$C,MATCH(B355,T2_GroupSKU!$A:$A,0)),T1_ProductType!$A:$A,0)),"")</f>
        <v>Drum</v>
      </c>
      <c r="F355" s="10" t="str">
        <f t="array" ref="F355">IFERROR(INDEX(T1_ProductType!$D:$D,MATCH(INDEX(T2_GroupSKU!$C:$C,MATCH(B355,T2_GroupSKU!$A:$A,0)),T1_ProductType!$A:$A,0)),"")</f>
        <v>Plastic Barrels</v>
      </c>
      <c r="G355" s="10" t="str">
        <f t="array" ref="G355">IFERROR(IF(INDEX(T1_ProductType!$E:$E,MATCH(INDEX(T2_GroupSKU!$C:$C,MATCH(B355,T2_GroupSKU!$A:$A,0)),T1_ProductType!$A:$A,0))="","-",INDEX(T1_ProductType!$E:$E,MATCH(INDEX(T2_GroupSKU!$C:$C,MATCH(B355,T2_GroupSKU!$A:$A,0)),T1_ProductType!$A:$A,0))),"-")</f>
        <v>Tight Head Drum</v>
      </c>
      <c r="H355" s="10">
        <f t="array" ref="H355">IFERROR(IF(INDEX(T2_GroupSKU!$D:$D,MATCH(B355,T2_GroupSKU!$A:$A,0))="","-",INDEX(T2_GroupSKU!$D:$D,MATCH(B355,T2_GroupSKU!$A:$A,0))),"-")</f>
        <v>50</v>
      </c>
      <c r="I355" s="10" t="str">
        <f t="array" ref="I355">IFERROR(IF(INDEX(T2_GroupSKU!$E:$E,MATCH(B355,T2_GroupSKU!$A:$A,0))="","-",INDEX(T2_GroupSKU!$E:$E,MATCH(B355,T2_GroupSKU!$A:$A,0))),"-")</f>
        <v>LTR</v>
      </c>
      <c r="J355" s="10" t="str">
        <f>T3_SKU!C355</f>
        <v>Blue / 2.56 KG</v>
      </c>
      <c r="K355" s="10" t="str">
        <f>T3_SKU!D355</f>
        <v>50 LTR BLUE N/M 2.56 KG</v>
      </c>
      <c r="L355" s="10" t="str">
        <f>T3_SKU!E355</f>
        <v>NOS</v>
      </c>
      <c r="M355" s="10" t="str">
        <f>T3_SKU!F355</f>
        <v>39233090</v>
      </c>
    </row>
    <row r="356" ht="15.0" customHeight="1">
      <c r="A356" s="10" t="str">
        <f>T3_SKU!A356</f>
        <v>NMD-50-BLU-25KG</v>
      </c>
      <c r="B356" s="10" t="str">
        <f>T3_SKU!B356</f>
        <v>NMD-50</v>
      </c>
      <c r="C356" s="10" t="str">
        <f t="array" ref="C356">IFERROR(INDEX(T2_GroupSKU!$B:$B,MATCH(B356,T2_GroupSKU!$A:$A,0)),"")</f>
        <v>Narrow Mouth Drum - 50.0 LTR</v>
      </c>
      <c r="D356" s="10" t="str">
        <f t="array" ref="D356">IFERROR(INDEX(T1_ProductType!$B:$B,MATCH(INDEX(T2_GroupSKU!$C:$C,MATCH(B356,T2_GroupSKU!$A:$A,0)),T1_ProductType!$A:$A,0)),"")</f>
        <v>Narrow Mouth Drum</v>
      </c>
      <c r="E356" s="10" t="str">
        <f t="array" ref="E356">IFERROR(INDEX(T1_ProductType!$C:$C,MATCH(INDEX(T2_GroupSKU!$C:$C,MATCH(B356,T2_GroupSKU!$A:$A,0)),T1_ProductType!$A:$A,0)),"")</f>
        <v>Drum</v>
      </c>
      <c r="F356" s="10" t="str">
        <f t="array" ref="F356">IFERROR(INDEX(T1_ProductType!$D:$D,MATCH(INDEX(T2_GroupSKU!$C:$C,MATCH(B356,T2_GroupSKU!$A:$A,0)),T1_ProductType!$A:$A,0)),"")</f>
        <v>Plastic Barrels</v>
      </c>
      <c r="G356" s="10" t="str">
        <f t="array" ref="G356">IFERROR(IF(INDEX(T1_ProductType!$E:$E,MATCH(INDEX(T2_GroupSKU!$C:$C,MATCH(B356,T2_GroupSKU!$A:$A,0)),T1_ProductType!$A:$A,0))="","-",INDEX(T1_ProductType!$E:$E,MATCH(INDEX(T2_GroupSKU!$C:$C,MATCH(B356,T2_GroupSKU!$A:$A,0)),T1_ProductType!$A:$A,0))),"-")</f>
        <v>Tight Head Drum</v>
      </c>
      <c r="H356" s="10">
        <f t="array" ref="H356">IFERROR(IF(INDEX(T2_GroupSKU!$D:$D,MATCH(B356,T2_GroupSKU!$A:$A,0))="","-",INDEX(T2_GroupSKU!$D:$D,MATCH(B356,T2_GroupSKU!$A:$A,0))),"-")</f>
        <v>50</v>
      </c>
      <c r="I356" s="10" t="str">
        <f t="array" ref="I356">IFERROR(IF(INDEX(T2_GroupSKU!$E:$E,MATCH(B356,T2_GroupSKU!$A:$A,0))="","-",INDEX(T2_GroupSKU!$E:$E,MATCH(B356,T2_GroupSKU!$A:$A,0))),"-")</f>
        <v>LTR</v>
      </c>
      <c r="J356" s="10" t="str">
        <f>T3_SKU!C356</f>
        <v>Blue / 2.5 KG</v>
      </c>
      <c r="K356" s="10" t="str">
        <f>T3_SKU!D356</f>
        <v>50 LTR BLUE N/M 2.5 KG</v>
      </c>
      <c r="L356" s="10" t="str">
        <f>T3_SKU!E356</f>
        <v>NOS</v>
      </c>
      <c r="M356" s="10" t="str">
        <f>T3_SKU!F356</f>
        <v>39233090</v>
      </c>
    </row>
    <row r="357" ht="15.0" customHeight="1">
      <c r="A357" s="10" t="str">
        <f>T3_SKU!A357</f>
        <v>NMD-50-BLU-26KG</v>
      </c>
      <c r="B357" s="10" t="str">
        <f>T3_SKU!B357</f>
        <v>NMD-50</v>
      </c>
      <c r="C357" s="10" t="str">
        <f t="array" ref="C357">IFERROR(INDEX(T2_GroupSKU!$B:$B,MATCH(B357,T2_GroupSKU!$A:$A,0)),"")</f>
        <v>Narrow Mouth Drum - 50.0 LTR</v>
      </c>
      <c r="D357" s="10" t="str">
        <f t="array" ref="D357">IFERROR(INDEX(T1_ProductType!$B:$B,MATCH(INDEX(T2_GroupSKU!$C:$C,MATCH(B357,T2_GroupSKU!$A:$A,0)),T1_ProductType!$A:$A,0)),"")</f>
        <v>Narrow Mouth Drum</v>
      </c>
      <c r="E357" s="10" t="str">
        <f t="array" ref="E357">IFERROR(INDEX(T1_ProductType!$C:$C,MATCH(INDEX(T2_GroupSKU!$C:$C,MATCH(B357,T2_GroupSKU!$A:$A,0)),T1_ProductType!$A:$A,0)),"")</f>
        <v>Drum</v>
      </c>
      <c r="F357" s="10" t="str">
        <f t="array" ref="F357">IFERROR(INDEX(T1_ProductType!$D:$D,MATCH(INDEX(T2_GroupSKU!$C:$C,MATCH(B357,T2_GroupSKU!$A:$A,0)),T1_ProductType!$A:$A,0)),"")</f>
        <v>Plastic Barrels</v>
      </c>
      <c r="G357" s="10" t="str">
        <f t="array" ref="G357">IFERROR(IF(INDEX(T1_ProductType!$E:$E,MATCH(INDEX(T2_GroupSKU!$C:$C,MATCH(B357,T2_GroupSKU!$A:$A,0)),T1_ProductType!$A:$A,0))="","-",INDEX(T1_ProductType!$E:$E,MATCH(INDEX(T2_GroupSKU!$C:$C,MATCH(B357,T2_GroupSKU!$A:$A,0)),T1_ProductType!$A:$A,0))),"-")</f>
        <v>Tight Head Drum</v>
      </c>
      <c r="H357" s="10">
        <f t="array" ref="H357">IFERROR(IF(INDEX(T2_GroupSKU!$D:$D,MATCH(B357,T2_GroupSKU!$A:$A,0))="","-",INDEX(T2_GroupSKU!$D:$D,MATCH(B357,T2_GroupSKU!$A:$A,0))),"-")</f>
        <v>50</v>
      </c>
      <c r="I357" s="10" t="str">
        <f t="array" ref="I357">IFERROR(IF(INDEX(T2_GroupSKU!$E:$E,MATCH(B357,T2_GroupSKU!$A:$A,0))="","-",INDEX(T2_GroupSKU!$E:$E,MATCH(B357,T2_GroupSKU!$A:$A,0))),"-")</f>
        <v>LTR</v>
      </c>
      <c r="J357" s="10" t="str">
        <f>T3_SKU!C357</f>
        <v>Blue / 2.6 KG</v>
      </c>
      <c r="K357" s="10" t="str">
        <f>T3_SKU!D357</f>
        <v>50 LTR BLUE N/M 2.6 KG</v>
      </c>
      <c r="L357" s="10" t="str">
        <f>T3_SKU!E357</f>
        <v>NOS</v>
      </c>
      <c r="M357" s="10" t="str">
        <f>T3_SKU!F357</f>
        <v>39233090</v>
      </c>
    </row>
    <row r="358" ht="15.0" customHeight="1">
      <c r="A358" s="10" t="str">
        <f>T3_SKU!A358</f>
        <v>NMD-50-BLU-286KG</v>
      </c>
      <c r="B358" s="10" t="str">
        <f>T3_SKU!B358</f>
        <v>NMD-50</v>
      </c>
      <c r="C358" s="10" t="str">
        <f t="array" ref="C358">IFERROR(INDEX(T2_GroupSKU!$B:$B,MATCH(B358,T2_GroupSKU!$A:$A,0)),"")</f>
        <v>Narrow Mouth Drum - 50.0 LTR</v>
      </c>
      <c r="D358" s="10" t="str">
        <f t="array" ref="D358">IFERROR(INDEX(T1_ProductType!$B:$B,MATCH(INDEX(T2_GroupSKU!$C:$C,MATCH(B358,T2_GroupSKU!$A:$A,0)),T1_ProductType!$A:$A,0)),"")</f>
        <v>Narrow Mouth Drum</v>
      </c>
      <c r="E358" s="10" t="str">
        <f t="array" ref="E358">IFERROR(INDEX(T1_ProductType!$C:$C,MATCH(INDEX(T2_GroupSKU!$C:$C,MATCH(B358,T2_GroupSKU!$A:$A,0)),T1_ProductType!$A:$A,0)),"")</f>
        <v>Drum</v>
      </c>
      <c r="F358" s="10" t="str">
        <f t="array" ref="F358">IFERROR(INDEX(T1_ProductType!$D:$D,MATCH(INDEX(T2_GroupSKU!$C:$C,MATCH(B358,T2_GroupSKU!$A:$A,0)),T1_ProductType!$A:$A,0)),"")</f>
        <v>Plastic Barrels</v>
      </c>
      <c r="G358" s="10" t="str">
        <f t="array" ref="G358">IFERROR(IF(INDEX(T1_ProductType!$E:$E,MATCH(INDEX(T2_GroupSKU!$C:$C,MATCH(B358,T2_GroupSKU!$A:$A,0)),T1_ProductType!$A:$A,0))="","-",INDEX(T1_ProductType!$E:$E,MATCH(INDEX(T2_GroupSKU!$C:$C,MATCH(B358,T2_GroupSKU!$A:$A,0)),T1_ProductType!$A:$A,0))),"-")</f>
        <v>Tight Head Drum</v>
      </c>
      <c r="H358" s="10">
        <f t="array" ref="H358">IFERROR(IF(INDEX(T2_GroupSKU!$D:$D,MATCH(B358,T2_GroupSKU!$A:$A,0))="","-",INDEX(T2_GroupSKU!$D:$D,MATCH(B358,T2_GroupSKU!$A:$A,0))),"-")</f>
        <v>50</v>
      </c>
      <c r="I358" s="10" t="str">
        <f t="array" ref="I358">IFERROR(IF(INDEX(T2_GroupSKU!$E:$E,MATCH(B358,T2_GroupSKU!$A:$A,0))="","-",INDEX(T2_GroupSKU!$E:$E,MATCH(B358,T2_GroupSKU!$A:$A,0))),"-")</f>
        <v>LTR</v>
      </c>
      <c r="J358" s="10" t="str">
        <f>T3_SKU!C358</f>
        <v>Blue / 2.86 KG</v>
      </c>
      <c r="K358" s="10" t="str">
        <f>T3_SKU!D358</f>
        <v>50 LTR BLUE N/M 2.86 KG</v>
      </c>
      <c r="L358" s="10" t="str">
        <f>T3_SKU!E358</f>
        <v>NOS</v>
      </c>
      <c r="M358" s="10" t="str">
        <f>T3_SKU!F358</f>
        <v>39233090</v>
      </c>
    </row>
    <row r="359" ht="15.0" customHeight="1">
      <c r="A359" s="10" t="str">
        <f>T3_SKU!A359</f>
        <v>NMD-50-BLU-28KG</v>
      </c>
      <c r="B359" s="10" t="str">
        <f>T3_SKU!B359</f>
        <v>NMD-50</v>
      </c>
      <c r="C359" s="10" t="str">
        <f t="array" ref="C359">IFERROR(INDEX(T2_GroupSKU!$B:$B,MATCH(B359,T2_GroupSKU!$A:$A,0)),"")</f>
        <v>Narrow Mouth Drum - 50.0 LTR</v>
      </c>
      <c r="D359" s="10" t="str">
        <f t="array" ref="D359">IFERROR(INDEX(T1_ProductType!$B:$B,MATCH(INDEX(T2_GroupSKU!$C:$C,MATCH(B359,T2_GroupSKU!$A:$A,0)),T1_ProductType!$A:$A,0)),"")</f>
        <v>Narrow Mouth Drum</v>
      </c>
      <c r="E359" s="10" t="str">
        <f t="array" ref="E359">IFERROR(INDEX(T1_ProductType!$C:$C,MATCH(INDEX(T2_GroupSKU!$C:$C,MATCH(B359,T2_GroupSKU!$A:$A,0)),T1_ProductType!$A:$A,0)),"")</f>
        <v>Drum</v>
      </c>
      <c r="F359" s="10" t="str">
        <f t="array" ref="F359">IFERROR(INDEX(T1_ProductType!$D:$D,MATCH(INDEX(T2_GroupSKU!$C:$C,MATCH(B359,T2_GroupSKU!$A:$A,0)),T1_ProductType!$A:$A,0)),"")</f>
        <v>Plastic Barrels</v>
      </c>
      <c r="G359" s="10" t="str">
        <f t="array" ref="G359">IFERROR(IF(INDEX(T1_ProductType!$E:$E,MATCH(INDEX(T2_GroupSKU!$C:$C,MATCH(B359,T2_GroupSKU!$A:$A,0)),T1_ProductType!$A:$A,0))="","-",INDEX(T1_ProductType!$E:$E,MATCH(INDEX(T2_GroupSKU!$C:$C,MATCH(B359,T2_GroupSKU!$A:$A,0)),T1_ProductType!$A:$A,0))),"-")</f>
        <v>Tight Head Drum</v>
      </c>
      <c r="H359" s="10">
        <f t="array" ref="H359">IFERROR(IF(INDEX(T2_GroupSKU!$D:$D,MATCH(B359,T2_GroupSKU!$A:$A,0))="","-",INDEX(T2_GroupSKU!$D:$D,MATCH(B359,T2_GroupSKU!$A:$A,0))),"-")</f>
        <v>50</v>
      </c>
      <c r="I359" s="10" t="str">
        <f t="array" ref="I359">IFERROR(IF(INDEX(T2_GroupSKU!$E:$E,MATCH(B359,T2_GroupSKU!$A:$A,0))="","-",INDEX(T2_GroupSKU!$E:$E,MATCH(B359,T2_GroupSKU!$A:$A,0))),"-")</f>
        <v>LTR</v>
      </c>
      <c r="J359" s="10" t="str">
        <f>T3_SKU!C359</f>
        <v>Blue / 2.8 KG</v>
      </c>
      <c r="K359" s="10" t="str">
        <f>T3_SKU!D359</f>
        <v>50 LTR BLUE N/M 2.8 kg</v>
      </c>
      <c r="L359" s="10" t="str">
        <f>T3_SKU!E359</f>
        <v>NOS</v>
      </c>
      <c r="M359" s="10" t="str">
        <f>T3_SKU!F359</f>
        <v>39233090</v>
      </c>
    </row>
    <row r="360" ht="15.0" customHeight="1">
      <c r="A360" s="10" t="str">
        <f>T3_SKU!A360</f>
        <v>NMD-50-BLU-30KG</v>
      </c>
      <c r="B360" s="10" t="str">
        <f>T3_SKU!B360</f>
        <v>NMD-50</v>
      </c>
      <c r="C360" s="10" t="str">
        <f t="array" ref="C360">IFERROR(INDEX(T2_GroupSKU!$B:$B,MATCH(B360,T2_GroupSKU!$A:$A,0)),"")</f>
        <v>Narrow Mouth Drum - 50.0 LTR</v>
      </c>
      <c r="D360" s="10" t="str">
        <f t="array" ref="D360">IFERROR(INDEX(T1_ProductType!$B:$B,MATCH(INDEX(T2_GroupSKU!$C:$C,MATCH(B360,T2_GroupSKU!$A:$A,0)),T1_ProductType!$A:$A,0)),"")</f>
        <v>Narrow Mouth Drum</v>
      </c>
      <c r="E360" s="10" t="str">
        <f t="array" ref="E360">IFERROR(INDEX(T1_ProductType!$C:$C,MATCH(INDEX(T2_GroupSKU!$C:$C,MATCH(B360,T2_GroupSKU!$A:$A,0)),T1_ProductType!$A:$A,0)),"")</f>
        <v>Drum</v>
      </c>
      <c r="F360" s="10" t="str">
        <f t="array" ref="F360">IFERROR(INDEX(T1_ProductType!$D:$D,MATCH(INDEX(T2_GroupSKU!$C:$C,MATCH(B360,T2_GroupSKU!$A:$A,0)),T1_ProductType!$A:$A,0)),"")</f>
        <v>Plastic Barrels</v>
      </c>
      <c r="G360" s="10" t="str">
        <f t="array" ref="G360">IFERROR(IF(INDEX(T1_ProductType!$E:$E,MATCH(INDEX(T2_GroupSKU!$C:$C,MATCH(B360,T2_GroupSKU!$A:$A,0)),T1_ProductType!$A:$A,0))="","-",INDEX(T1_ProductType!$E:$E,MATCH(INDEX(T2_GroupSKU!$C:$C,MATCH(B360,T2_GroupSKU!$A:$A,0)),T1_ProductType!$A:$A,0))),"-")</f>
        <v>Tight Head Drum</v>
      </c>
      <c r="H360" s="10">
        <f t="array" ref="H360">IFERROR(IF(INDEX(T2_GroupSKU!$D:$D,MATCH(B360,T2_GroupSKU!$A:$A,0))="","-",INDEX(T2_GroupSKU!$D:$D,MATCH(B360,T2_GroupSKU!$A:$A,0))),"-")</f>
        <v>50</v>
      </c>
      <c r="I360" s="10" t="str">
        <f t="array" ref="I360">IFERROR(IF(INDEX(T2_GroupSKU!$E:$E,MATCH(B360,T2_GroupSKU!$A:$A,0))="","-",INDEX(T2_GroupSKU!$E:$E,MATCH(B360,T2_GroupSKU!$A:$A,0))),"-")</f>
        <v>LTR</v>
      </c>
      <c r="J360" s="10" t="str">
        <f>T3_SKU!C360</f>
        <v>Blue / 3.0 KG</v>
      </c>
      <c r="K360" s="10" t="str">
        <f>T3_SKU!D360</f>
        <v>50 LTR BLUE N/M 3.0 KG</v>
      </c>
      <c r="L360" s="10" t="str">
        <f>T3_SKU!E360</f>
        <v>NOS</v>
      </c>
      <c r="M360" s="10" t="str">
        <f>T3_SKU!F360</f>
        <v>39233090</v>
      </c>
    </row>
    <row r="361" ht="15.0" customHeight="1">
      <c r="A361" s="10" t="str">
        <f>T3_SKU!A361</f>
        <v>NMD-50-BLU-35KG</v>
      </c>
      <c r="B361" s="10" t="str">
        <f>T3_SKU!B361</f>
        <v>NMD-50</v>
      </c>
      <c r="C361" s="10" t="str">
        <f t="array" ref="C361">IFERROR(INDEX(T2_GroupSKU!$B:$B,MATCH(B361,T2_GroupSKU!$A:$A,0)),"")</f>
        <v>Narrow Mouth Drum - 50.0 LTR</v>
      </c>
      <c r="D361" s="10" t="str">
        <f t="array" ref="D361">IFERROR(INDEX(T1_ProductType!$B:$B,MATCH(INDEX(T2_GroupSKU!$C:$C,MATCH(B361,T2_GroupSKU!$A:$A,0)),T1_ProductType!$A:$A,0)),"")</f>
        <v>Narrow Mouth Drum</v>
      </c>
      <c r="E361" s="10" t="str">
        <f t="array" ref="E361">IFERROR(INDEX(T1_ProductType!$C:$C,MATCH(INDEX(T2_GroupSKU!$C:$C,MATCH(B361,T2_GroupSKU!$A:$A,0)),T1_ProductType!$A:$A,0)),"")</f>
        <v>Drum</v>
      </c>
      <c r="F361" s="10" t="str">
        <f t="array" ref="F361">IFERROR(INDEX(T1_ProductType!$D:$D,MATCH(INDEX(T2_GroupSKU!$C:$C,MATCH(B361,T2_GroupSKU!$A:$A,0)),T1_ProductType!$A:$A,0)),"")</f>
        <v>Plastic Barrels</v>
      </c>
      <c r="G361" s="10" t="str">
        <f t="array" ref="G361">IFERROR(IF(INDEX(T1_ProductType!$E:$E,MATCH(INDEX(T2_GroupSKU!$C:$C,MATCH(B361,T2_GroupSKU!$A:$A,0)),T1_ProductType!$A:$A,0))="","-",INDEX(T1_ProductType!$E:$E,MATCH(INDEX(T2_GroupSKU!$C:$C,MATCH(B361,T2_GroupSKU!$A:$A,0)),T1_ProductType!$A:$A,0))),"-")</f>
        <v>Tight Head Drum</v>
      </c>
      <c r="H361" s="10">
        <f t="array" ref="H361">IFERROR(IF(INDEX(T2_GroupSKU!$D:$D,MATCH(B361,T2_GroupSKU!$A:$A,0))="","-",INDEX(T2_GroupSKU!$D:$D,MATCH(B361,T2_GroupSKU!$A:$A,0))),"-")</f>
        <v>50</v>
      </c>
      <c r="I361" s="10" t="str">
        <f t="array" ref="I361">IFERROR(IF(INDEX(T2_GroupSKU!$E:$E,MATCH(B361,T2_GroupSKU!$A:$A,0))="","-",INDEX(T2_GroupSKU!$E:$E,MATCH(B361,T2_GroupSKU!$A:$A,0))),"-")</f>
        <v>LTR</v>
      </c>
      <c r="J361" s="10" t="str">
        <f>T3_SKU!C361</f>
        <v>Blue / 3.5 KG</v>
      </c>
      <c r="K361" s="10" t="str">
        <f>T3_SKU!D361</f>
        <v>50 LTR BLUE N/M 3.5 KG</v>
      </c>
      <c r="L361" s="10" t="str">
        <f>T3_SKU!E361</f>
        <v>NOS</v>
      </c>
      <c r="M361" s="10" t="str">
        <f>T3_SKU!F361</f>
        <v>39233090</v>
      </c>
    </row>
    <row r="362" ht="15.0" customHeight="1">
      <c r="A362" s="10" t="str">
        <f>T3_SKU!A362</f>
        <v>PIN-BLK</v>
      </c>
      <c r="B362" s="10" t="str">
        <f>T3_SKU!B362</f>
        <v>PIN</v>
      </c>
      <c r="C362" s="10" t="str">
        <f t="array" ref="C362">IFERROR(INDEX(T2_GroupSKU!$B:$B,MATCH(B362,T2_GroupSKU!$A:$A,0)),"")</f>
        <v>Pin</v>
      </c>
      <c r="D362" s="10" t="str">
        <f t="array" ref="D362">IFERROR(INDEX(T1_ProductType!$B:$B,MATCH(INDEX(T2_GroupSKU!$C:$C,MATCH(B362,T2_GroupSKU!$A:$A,0)),T1_ProductType!$A:$A,0)),"")</f>
        <v>Pin</v>
      </c>
      <c r="E362" s="10" t="str">
        <f t="array" ref="E362">IFERROR(INDEX(T1_ProductType!$C:$C,MATCH(INDEX(T2_GroupSKU!$C:$C,MATCH(B362,T2_GroupSKU!$A:$A,0)),T1_ProductType!$A:$A,0)),"")</f>
        <v>Accessory</v>
      </c>
      <c r="F362" s="10" t="str">
        <f t="array" ref="F362">IFERROR(INDEX(T1_ProductType!$D:$D,MATCH(INDEX(T2_GroupSKU!$C:$C,MATCH(B362,T2_GroupSKU!$A:$A,0)),T1_ProductType!$A:$A,0)),"")</f>
        <v>Plastic Barrels</v>
      </c>
      <c r="G362" s="10" t="str">
        <f t="array" ref="G362">IFERROR(IF(INDEX(T1_ProductType!$E:$E,MATCH(INDEX(T2_GroupSKU!$C:$C,MATCH(B362,T2_GroupSKU!$A:$A,0)),T1_ProductType!$A:$A,0))="","-",INDEX(T1_ProductType!$E:$E,MATCH(INDEX(T2_GroupSKU!$C:$C,MATCH(B362,T2_GroupSKU!$A:$A,0)),T1_ProductType!$A:$A,0))),"-")</f>
        <v>-</v>
      </c>
      <c r="H362" s="10" t="str">
        <f t="array" ref="H362">IFERROR(IF(INDEX(T2_GroupSKU!$D:$D,MATCH(B362,T2_GroupSKU!$A:$A,0))="","-",INDEX(T2_GroupSKU!$D:$D,MATCH(B362,T2_GroupSKU!$A:$A,0))),"-")</f>
        <v>-</v>
      </c>
      <c r="I362" s="10" t="str">
        <f t="array" ref="I362">IFERROR(IF(INDEX(T2_GroupSKU!$E:$E,MATCH(B362,T2_GroupSKU!$A:$A,0))="","-",INDEX(T2_GroupSKU!$E:$E,MATCH(B362,T2_GroupSKU!$A:$A,0))),"-")</f>
        <v>-</v>
      </c>
      <c r="J362" s="10" t="str">
        <f>T3_SKU!C362</f>
        <v>Black</v>
      </c>
      <c r="K362" s="10" t="str">
        <f>T3_SKU!D362</f>
        <v>PIN BLACK</v>
      </c>
      <c r="L362" s="10" t="str">
        <f>T3_SKU!E362</f>
        <v>NOS</v>
      </c>
      <c r="M362" s="10" t="str">
        <f>T3_SKU!F362</f>
        <v>39235010</v>
      </c>
    </row>
    <row r="363" ht="15.0" customHeight="1">
      <c r="A363" s="10" t="str">
        <f>T3_SKU!A363</f>
        <v>PIN-BLU</v>
      </c>
      <c r="B363" s="10" t="str">
        <f>T3_SKU!B363</f>
        <v>PIN</v>
      </c>
      <c r="C363" s="10" t="str">
        <f t="array" ref="C363">IFERROR(INDEX(T2_GroupSKU!$B:$B,MATCH(B363,T2_GroupSKU!$A:$A,0)),"")</f>
        <v>Pin</v>
      </c>
      <c r="D363" s="10" t="str">
        <f t="array" ref="D363">IFERROR(INDEX(T1_ProductType!$B:$B,MATCH(INDEX(T2_GroupSKU!$C:$C,MATCH(B363,T2_GroupSKU!$A:$A,0)),T1_ProductType!$A:$A,0)),"")</f>
        <v>Pin</v>
      </c>
      <c r="E363" s="10" t="str">
        <f t="array" ref="E363">IFERROR(INDEX(T1_ProductType!$C:$C,MATCH(INDEX(T2_GroupSKU!$C:$C,MATCH(B363,T2_GroupSKU!$A:$A,0)),T1_ProductType!$A:$A,0)),"")</f>
        <v>Accessory</v>
      </c>
      <c r="F363" s="10" t="str">
        <f t="array" ref="F363">IFERROR(INDEX(T1_ProductType!$D:$D,MATCH(INDEX(T2_GroupSKU!$C:$C,MATCH(B363,T2_GroupSKU!$A:$A,0)),T1_ProductType!$A:$A,0)),"")</f>
        <v>Plastic Barrels</v>
      </c>
      <c r="G363" s="10" t="str">
        <f t="array" ref="G363">IFERROR(IF(INDEX(T1_ProductType!$E:$E,MATCH(INDEX(T2_GroupSKU!$C:$C,MATCH(B363,T2_GroupSKU!$A:$A,0)),T1_ProductType!$A:$A,0))="","-",INDEX(T1_ProductType!$E:$E,MATCH(INDEX(T2_GroupSKU!$C:$C,MATCH(B363,T2_GroupSKU!$A:$A,0)),T1_ProductType!$A:$A,0))),"-")</f>
        <v>-</v>
      </c>
      <c r="H363" s="10" t="str">
        <f t="array" ref="H363">IFERROR(IF(INDEX(T2_GroupSKU!$D:$D,MATCH(B363,T2_GroupSKU!$A:$A,0))="","-",INDEX(T2_GroupSKU!$D:$D,MATCH(B363,T2_GroupSKU!$A:$A,0))),"-")</f>
        <v>-</v>
      </c>
      <c r="I363" s="10" t="str">
        <f t="array" ref="I363">IFERROR(IF(INDEX(T2_GroupSKU!$E:$E,MATCH(B363,T2_GroupSKU!$A:$A,0))="","-",INDEX(T2_GroupSKU!$E:$E,MATCH(B363,T2_GroupSKU!$A:$A,0))),"-")</f>
        <v>-</v>
      </c>
      <c r="J363" s="10" t="str">
        <f>T3_SKU!C363</f>
        <v>Blue</v>
      </c>
      <c r="K363" s="10" t="str">
        <f>T3_SKU!D363</f>
        <v>PIN BLUE</v>
      </c>
      <c r="L363" s="10" t="str">
        <f>T3_SKU!E363</f>
        <v>NOS</v>
      </c>
      <c r="M363" s="10" t="str">
        <f>T3_SKU!F363</f>
        <v>39235010</v>
      </c>
    </row>
    <row r="364" ht="15.0" customHeight="1">
      <c r="A364" s="10" t="str">
        <f>T3_SKU!A364</f>
        <v>PIN-BRN</v>
      </c>
      <c r="B364" s="10" t="str">
        <f>T3_SKU!B364</f>
        <v>PIN</v>
      </c>
      <c r="C364" s="10" t="str">
        <f t="array" ref="C364">IFERROR(INDEX(T2_GroupSKU!$B:$B,MATCH(B364,T2_GroupSKU!$A:$A,0)),"")</f>
        <v>Pin</v>
      </c>
      <c r="D364" s="10" t="str">
        <f t="array" ref="D364">IFERROR(INDEX(T1_ProductType!$B:$B,MATCH(INDEX(T2_GroupSKU!$C:$C,MATCH(B364,T2_GroupSKU!$A:$A,0)),T1_ProductType!$A:$A,0)),"")</f>
        <v>Pin</v>
      </c>
      <c r="E364" s="10" t="str">
        <f t="array" ref="E364">IFERROR(INDEX(T1_ProductType!$C:$C,MATCH(INDEX(T2_GroupSKU!$C:$C,MATCH(B364,T2_GroupSKU!$A:$A,0)),T1_ProductType!$A:$A,0)),"")</f>
        <v>Accessory</v>
      </c>
      <c r="F364" s="10" t="str">
        <f t="array" ref="F364">IFERROR(INDEX(T1_ProductType!$D:$D,MATCH(INDEX(T2_GroupSKU!$C:$C,MATCH(B364,T2_GroupSKU!$A:$A,0)),T1_ProductType!$A:$A,0)),"")</f>
        <v>Plastic Barrels</v>
      </c>
      <c r="G364" s="10" t="str">
        <f t="array" ref="G364">IFERROR(IF(INDEX(T1_ProductType!$E:$E,MATCH(INDEX(T2_GroupSKU!$C:$C,MATCH(B364,T2_GroupSKU!$A:$A,0)),T1_ProductType!$A:$A,0))="","-",INDEX(T1_ProductType!$E:$E,MATCH(INDEX(T2_GroupSKU!$C:$C,MATCH(B364,T2_GroupSKU!$A:$A,0)),T1_ProductType!$A:$A,0))),"-")</f>
        <v>-</v>
      </c>
      <c r="H364" s="10" t="str">
        <f t="array" ref="H364">IFERROR(IF(INDEX(T2_GroupSKU!$D:$D,MATCH(B364,T2_GroupSKU!$A:$A,0))="","-",INDEX(T2_GroupSKU!$D:$D,MATCH(B364,T2_GroupSKU!$A:$A,0))),"-")</f>
        <v>-</v>
      </c>
      <c r="I364" s="10" t="str">
        <f t="array" ref="I364">IFERROR(IF(INDEX(T2_GroupSKU!$E:$E,MATCH(B364,T2_GroupSKU!$A:$A,0))="","-",INDEX(T2_GroupSKU!$E:$E,MATCH(B364,T2_GroupSKU!$A:$A,0))),"-")</f>
        <v>-</v>
      </c>
      <c r="J364" s="10" t="str">
        <f>T3_SKU!C364</f>
        <v>Brown</v>
      </c>
      <c r="K364" s="10" t="str">
        <f>T3_SKU!D364</f>
        <v>PIN BROWN</v>
      </c>
      <c r="L364" s="10" t="str">
        <f>T3_SKU!E364</f>
        <v>NOS</v>
      </c>
      <c r="M364" s="10" t="str">
        <f>T3_SKU!F364</f>
        <v>39235010</v>
      </c>
    </row>
    <row r="365" ht="15.0" customHeight="1">
      <c r="A365" s="10" t="str">
        <f>T3_SKU!A365</f>
        <v>PIN-GRN</v>
      </c>
      <c r="B365" s="10" t="str">
        <f>T3_SKU!B365</f>
        <v>PIN</v>
      </c>
      <c r="C365" s="10" t="str">
        <f t="array" ref="C365">IFERROR(INDEX(T2_GroupSKU!$B:$B,MATCH(B365,T2_GroupSKU!$A:$A,0)),"")</f>
        <v>Pin</v>
      </c>
      <c r="D365" s="10" t="str">
        <f t="array" ref="D365">IFERROR(INDEX(T1_ProductType!$B:$B,MATCH(INDEX(T2_GroupSKU!$C:$C,MATCH(B365,T2_GroupSKU!$A:$A,0)),T1_ProductType!$A:$A,0)),"")</f>
        <v>Pin</v>
      </c>
      <c r="E365" s="10" t="str">
        <f t="array" ref="E365">IFERROR(INDEX(T1_ProductType!$C:$C,MATCH(INDEX(T2_GroupSKU!$C:$C,MATCH(B365,T2_GroupSKU!$A:$A,0)),T1_ProductType!$A:$A,0)),"")</f>
        <v>Accessory</v>
      </c>
      <c r="F365" s="10" t="str">
        <f t="array" ref="F365">IFERROR(INDEX(T1_ProductType!$D:$D,MATCH(INDEX(T2_GroupSKU!$C:$C,MATCH(B365,T2_GroupSKU!$A:$A,0)),T1_ProductType!$A:$A,0)),"")</f>
        <v>Plastic Barrels</v>
      </c>
      <c r="G365" s="10" t="str">
        <f t="array" ref="G365">IFERROR(IF(INDEX(T1_ProductType!$E:$E,MATCH(INDEX(T2_GroupSKU!$C:$C,MATCH(B365,T2_GroupSKU!$A:$A,0)),T1_ProductType!$A:$A,0))="","-",INDEX(T1_ProductType!$E:$E,MATCH(INDEX(T2_GroupSKU!$C:$C,MATCH(B365,T2_GroupSKU!$A:$A,0)),T1_ProductType!$A:$A,0))),"-")</f>
        <v>-</v>
      </c>
      <c r="H365" s="10" t="str">
        <f t="array" ref="H365">IFERROR(IF(INDEX(T2_GroupSKU!$D:$D,MATCH(B365,T2_GroupSKU!$A:$A,0))="","-",INDEX(T2_GroupSKU!$D:$D,MATCH(B365,T2_GroupSKU!$A:$A,0))),"-")</f>
        <v>-</v>
      </c>
      <c r="I365" s="10" t="str">
        <f t="array" ref="I365">IFERROR(IF(INDEX(T2_GroupSKU!$E:$E,MATCH(B365,T2_GroupSKU!$A:$A,0))="","-",INDEX(T2_GroupSKU!$E:$E,MATCH(B365,T2_GroupSKU!$A:$A,0))),"-")</f>
        <v>-</v>
      </c>
      <c r="J365" s="10" t="str">
        <f>T3_SKU!C365</f>
        <v>Green</v>
      </c>
      <c r="K365" s="10" t="str">
        <f>T3_SKU!D365</f>
        <v>PIN GREEN</v>
      </c>
      <c r="L365" s="10" t="str">
        <f>T3_SKU!E365</f>
        <v>NOS</v>
      </c>
      <c r="M365" s="10" t="str">
        <f>T3_SKU!F365</f>
        <v>39235010</v>
      </c>
    </row>
    <row r="366" ht="15.0" customHeight="1">
      <c r="A366" s="10" t="str">
        <f>T3_SKU!A366</f>
        <v>PIN-RED</v>
      </c>
      <c r="B366" s="10" t="str">
        <f>T3_SKU!B366</f>
        <v>PIN</v>
      </c>
      <c r="C366" s="10" t="str">
        <f t="array" ref="C366">IFERROR(INDEX(T2_GroupSKU!$B:$B,MATCH(B366,T2_GroupSKU!$A:$A,0)),"")</f>
        <v>Pin</v>
      </c>
      <c r="D366" s="10" t="str">
        <f t="array" ref="D366">IFERROR(INDEX(T1_ProductType!$B:$B,MATCH(INDEX(T2_GroupSKU!$C:$C,MATCH(B366,T2_GroupSKU!$A:$A,0)),T1_ProductType!$A:$A,0)),"")</f>
        <v>Pin</v>
      </c>
      <c r="E366" s="10" t="str">
        <f t="array" ref="E366">IFERROR(INDEX(T1_ProductType!$C:$C,MATCH(INDEX(T2_GroupSKU!$C:$C,MATCH(B366,T2_GroupSKU!$A:$A,0)),T1_ProductType!$A:$A,0)),"")</f>
        <v>Accessory</v>
      </c>
      <c r="F366" s="10" t="str">
        <f t="array" ref="F366">IFERROR(INDEX(T1_ProductType!$D:$D,MATCH(INDEX(T2_GroupSKU!$C:$C,MATCH(B366,T2_GroupSKU!$A:$A,0)),T1_ProductType!$A:$A,0)),"")</f>
        <v>Plastic Barrels</v>
      </c>
      <c r="G366" s="10" t="str">
        <f t="array" ref="G366">IFERROR(IF(INDEX(T1_ProductType!$E:$E,MATCH(INDEX(T2_GroupSKU!$C:$C,MATCH(B366,T2_GroupSKU!$A:$A,0)),T1_ProductType!$A:$A,0))="","-",INDEX(T1_ProductType!$E:$E,MATCH(INDEX(T2_GroupSKU!$C:$C,MATCH(B366,T2_GroupSKU!$A:$A,0)),T1_ProductType!$A:$A,0))),"-")</f>
        <v>-</v>
      </c>
      <c r="H366" s="10" t="str">
        <f t="array" ref="H366">IFERROR(IF(INDEX(T2_GroupSKU!$D:$D,MATCH(B366,T2_GroupSKU!$A:$A,0))="","-",INDEX(T2_GroupSKU!$D:$D,MATCH(B366,T2_GroupSKU!$A:$A,0))),"-")</f>
        <v>-</v>
      </c>
      <c r="I366" s="10" t="str">
        <f t="array" ref="I366">IFERROR(IF(INDEX(T2_GroupSKU!$E:$E,MATCH(B366,T2_GroupSKU!$A:$A,0))="","-",INDEX(T2_GroupSKU!$E:$E,MATCH(B366,T2_GroupSKU!$A:$A,0))),"-")</f>
        <v>-</v>
      </c>
      <c r="J366" s="10" t="str">
        <f>T3_SKU!C366</f>
        <v>Red</v>
      </c>
      <c r="K366" s="10" t="str">
        <f>T3_SKU!D366</f>
        <v>PIN RED</v>
      </c>
      <c r="L366" s="10" t="str">
        <f>T3_SKU!E366</f>
        <v>NOS</v>
      </c>
      <c r="M366" s="10" t="str">
        <f>T3_SKU!F366</f>
        <v>39235010</v>
      </c>
    </row>
    <row r="367" ht="15.0" customHeight="1">
      <c r="A367" s="10" t="str">
        <f>T3_SKU!A367</f>
        <v>PIN-YEL</v>
      </c>
      <c r="B367" s="10" t="str">
        <f>T3_SKU!B367</f>
        <v>PIN</v>
      </c>
      <c r="C367" s="10" t="str">
        <f t="array" ref="C367">IFERROR(INDEX(T2_GroupSKU!$B:$B,MATCH(B367,T2_GroupSKU!$A:$A,0)),"")</f>
        <v>Pin</v>
      </c>
      <c r="D367" s="10" t="str">
        <f t="array" ref="D367">IFERROR(INDEX(T1_ProductType!$B:$B,MATCH(INDEX(T2_GroupSKU!$C:$C,MATCH(B367,T2_GroupSKU!$A:$A,0)),T1_ProductType!$A:$A,0)),"")</f>
        <v>Pin</v>
      </c>
      <c r="E367" s="10" t="str">
        <f t="array" ref="E367">IFERROR(INDEX(T1_ProductType!$C:$C,MATCH(INDEX(T2_GroupSKU!$C:$C,MATCH(B367,T2_GroupSKU!$A:$A,0)),T1_ProductType!$A:$A,0)),"")</f>
        <v>Accessory</v>
      </c>
      <c r="F367" s="10" t="str">
        <f t="array" ref="F367">IFERROR(INDEX(T1_ProductType!$D:$D,MATCH(INDEX(T2_GroupSKU!$C:$C,MATCH(B367,T2_GroupSKU!$A:$A,0)),T1_ProductType!$A:$A,0)),"")</f>
        <v>Plastic Barrels</v>
      </c>
      <c r="G367" s="10" t="str">
        <f t="array" ref="G367">IFERROR(IF(INDEX(T1_ProductType!$E:$E,MATCH(INDEX(T2_GroupSKU!$C:$C,MATCH(B367,T2_GroupSKU!$A:$A,0)),T1_ProductType!$A:$A,0))="","-",INDEX(T1_ProductType!$E:$E,MATCH(INDEX(T2_GroupSKU!$C:$C,MATCH(B367,T2_GroupSKU!$A:$A,0)),T1_ProductType!$A:$A,0))),"-")</f>
        <v>-</v>
      </c>
      <c r="H367" s="10" t="str">
        <f t="array" ref="H367">IFERROR(IF(INDEX(T2_GroupSKU!$D:$D,MATCH(B367,T2_GroupSKU!$A:$A,0))="","-",INDEX(T2_GroupSKU!$D:$D,MATCH(B367,T2_GroupSKU!$A:$A,0))),"-")</f>
        <v>-</v>
      </c>
      <c r="I367" s="10" t="str">
        <f t="array" ref="I367">IFERROR(IF(INDEX(T2_GroupSKU!$E:$E,MATCH(B367,T2_GroupSKU!$A:$A,0))="","-",INDEX(T2_GroupSKU!$E:$E,MATCH(B367,T2_GroupSKU!$A:$A,0))),"-")</f>
        <v>-</v>
      </c>
      <c r="J367" s="10" t="str">
        <f>T3_SKU!C367</f>
        <v>Yellow</v>
      </c>
      <c r="K367" s="10" t="str">
        <f>T3_SKU!D367</f>
        <v>PIN YELLOW</v>
      </c>
      <c r="L367" s="10" t="str">
        <f>T3_SKU!E367</f>
        <v>PCS</v>
      </c>
      <c r="M367" s="10" t="str">
        <f>T3_SKU!F367</f>
        <v>39235010</v>
      </c>
    </row>
    <row r="368" ht="15.0" customHeight="1">
      <c r="A368" s="10" t="str">
        <f>T3_SKU!A368</f>
        <v>PLCAP-10IN-RED</v>
      </c>
      <c r="B368" s="10" t="str">
        <f>T3_SKU!B368</f>
        <v>PLCAP-10IN</v>
      </c>
      <c r="C368" s="10" t="str">
        <f t="array" ref="C368">IFERROR(INDEX(T2_GroupSKU!$B:$B,MATCH(B368,T2_GroupSKU!$A:$A,0)),"")</f>
        <v>Plain Cap - 10.0"</v>
      </c>
      <c r="D368" s="10" t="str">
        <f t="array" ref="D368">IFERROR(INDEX(T1_ProductType!$B:$B,MATCH(INDEX(T2_GroupSKU!$C:$C,MATCH(B368,T2_GroupSKU!$A:$A,0)),T1_ProductType!$A:$A,0)),"")</f>
        <v>Plain Cap</v>
      </c>
      <c r="E368" s="10" t="str">
        <f t="array" ref="E368">IFERROR(INDEX(T1_ProductType!$C:$C,MATCH(INDEX(T2_GroupSKU!$C:$C,MATCH(B368,T2_GroupSKU!$A:$A,0)),T1_ProductType!$A:$A,0)),"")</f>
        <v>Accessory</v>
      </c>
      <c r="F368" s="10" t="str">
        <f t="array" ref="F368">IFERROR(INDEX(T1_ProductType!$D:$D,MATCH(INDEX(T2_GroupSKU!$C:$C,MATCH(B368,T2_GroupSKU!$A:$A,0)),T1_ProductType!$A:$A,0)),"")</f>
        <v>Plastic Barrels</v>
      </c>
      <c r="G368" s="10" t="str">
        <f t="array" ref="G368">IFERROR(IF(INDEX(T1_ProductType!$E:$E,MATCH(INDEX(T2_GroupSKU!$C:$C,MATCH(B368,T2_GroupSKU!$A:$A,0)),T1_ProductType!$A:$A,0))="","-",INDEX(T1_ProductType!$E:$E,MATCH(INDEX(T2_GroupSKU!$C:$C,MATCH(B368,T2_GroupSKU!$A:$A,0)),T1_ProductType!$A:$A,0))),"-")</f>
        <v>-</v>
      </c>
      <c r="H368" s="10">
        <f t="array" ref="H368">IFERROR(IF(INDEX(T2_GroupSKU!$D:$D,MATCH(B368,T2_GroupSKU!$A:$A,0))="","-",INDEX(T2_GroupSKU!$D:$D,MATCH(B368,T2_GroupSKU!$A:$A,0))),"-")</f>
        <v>10</v>
      </c>
      <c r="I368" s="10" t="str">
        <f t="array" ref="I368">IFERROR(IF(INDEX(T2_GroupSKU!$E:$E,MATCH(B368,T2_GroupSKU!$A:$A,0))="","-",INDEX(T2_GroupSKU!$E:$E,MATCH(B368,T2_GroupSKU!$A:$A,0))),"-")</f>
        <v>INCH</v>
      </c>
      <c r="J368" s="10" t="str">
        <f>T3_SKU!C368</f>
        <v>Red</v>
      </c>
      <c r="K368" s="10" t="str">
        <f>T3_SKU!D368</f>
        <v>10" PLAIN CAP RED</v>
      </c>
      <c r="L368" s="10" t="str">
        <f>T3_SKU!E368</f>
        <v>NOS</v>
      </c>
      <c r="M368" s="10" t="str">
        <f>T3_SKU!F368</f>
        <v>39235010</v>
      </c>
    </row>
    <row r="369" ht="15.0" customHeight="1">
      <c r="A369" s="10" t="str">
        <f>T3_SKU!A369</f>
        <v>PLCAP-10IN-WHT</v>
      </c>
      <c r="B369" s="10" t="str">
        <f>T3_SKU!B369</f>
        <v>PLCAP-10IN</v>
      </c>
      <c r="C369" s="10" t="str">
        <f t="array" ref="C369">IFERROR(INDEX(T2_GroupSKU!$B:$B,MATCH(B369,T2_GroupSKU!$A:$A,0)),"")</f>
        <v>Plain Cap - 10.0"</v>
      </c>
      <c r="D369" s="10" t="str">
        <f t="array" ref="D369">IFERROR(INDEX(T1_ProductType!$B:$B,MATCH(INDEX(T2_GroupSKU!$C:$C,MATCH(B369,T2_GroupSKU!$A:$A,0)),T1_ProductType!$A:$A,0)),"")</f>
        <v>Plain Cap</v>
      </c>
      <c r="E369" s="10" t="str">
        <f t="array" ref="E369">IFERROR(INDEX(T1_ProductType!$C:$C,MATCH(INDEX(T2_GroupSKU!$C:$C,MATCH(B369,T2_GroupSKU!$A:$A,0)),T1_ProductType!$A:$A,0)),"")</f>
        <v>Accessory</v>
      </c>
      <c r="F369" s="10" t="str">
        <f t="array" ref="F369">IFERROR(INDEX(T1_ProductType!$D:$D,MATCH(INDEX(T2_GroupSKU!$C:$C,MATCH(B369,T2_GroupSKU!$A:$A,0)),T1_ProductType!$A:$A,0)),"")</f>
        <v>Plastic Barrels</v>
      </c>
      <c r="G369" s="10" t="str">
        <f t="array" ref="G369">IFERROR(IF(INDEX(T1_ProductType!$E:$E,MATCH(INDEX(T2_GroupSKU!$C:$C,MATCH(B369,T2_GroupSKU!$A:$A,0)),T1_ProductType!$A:$A,0))="","-",INDEX(T1_ProductType!$E:$E,MATCH(INDEX(T2_GroupSKU!$C:$C,MATCH(B369,T2_GroupSKU!$A:$A,0)),T1_ProductType!$A:$A,0))),"-")</f>
        <v>-</v>
      </c>
      <c r="H369" s="10">
        <f t="array" ref="H369">IFERROR(IF(INDEX(T2_GroupSKU!$D:$D,MATCH(B369,T2_GroupSKU!$A:$A,0))="","-",INDEX(T2_GroupSKU!$D:$D,MATCH(B369,T2_GroupSKU!$A:$A,0))),"-")</f>
        <v>10</v>
      </c>
      <c r="I369" s="10" t="str">
        <f t="array" ref="I369">IFERROR(IF(INDEX(T2_GroupSKU!$E:$E,MATCH(B369,T2_GroupSKU!$A:$A,0))="","-",INDEX(T2_GroupSKU!$E:$E,MATCH(B369,T2_GroupSKU!$A:$A,0))),"-")</f>
        <v>INCH</v>
      </c>
      <c r="J369" s="10" t="str">
        <f>T3_SKU!C369</f>
        <v>White</v>
      </c>
      <c r="K369" s="10" t="str">
        <f>T3_SKU!D369</f>
        <v>10'' PLAIN CAP WHITE</v>
      </c>
      <c r="L369" s="10" t="str">
        <f>T3_SKU!E369</f>
        <v>NOS</v>
      </c>
      <c r="M369" s="10" t="str">
        <f>T3_SKU!F369</f>
        <v>39235010</v>
      </c>
    </row>
    <row r="370" ht="15.0" customHeight="1">
      <c r="A370" s="10" t="str">
        <f>T3_SKU!A370</f>
        <v>PLCAP-2IN-BLK</v>
      </c>
      <c r="B370" s="10" t="str">
        <f>T3_SKU!B370</f>
        <v>PLCAP-2IN</v>
      </c>
      <c r="C370" s="10" t="str">
        <f t="array" ref="C370">IFERROR(INDEX(T2_GroupSKU!$B:$B,MATCH(B370,T2_GroupSKU!$A:$A,0)),"")</f>
        <v>Plain Cap - 2.0"</v>
      </c>
      <c r="D370" s="10" t="str">
        <f t="array" ref="D370">IFERROR(INDEX(T1_ProductType!$B:$B,MATCH(INDEX(T2_GroupSKU!$C:$C,MATCH(B370,T2_GroupSKU!$A:$A,0)),T1_ProductType!$A:$A,0)),"")</f>
        <v>Plain Cap</v>
      </c>
      <c r="E370" s="10" t="str">
        <f t="array" ref="E370">IFERROR(INDEX(T1_ProductType!$C:$C,MATCH(INDEX(T2_GroupSKU!$C:$C,MATCH(B370,T2_GroupSKU!$A:$A,0)),T1_ProductType!$A:$A,0)),"")</f>
        <v>Accessory</v>
      </c>
      <c r="F370" s="10" t="str">
        <f t="array" ref="F370">IFERROR(INDEX(T1_ProductType!$D:$D,MATCH(INDEX(T2_GroupSKU!$C:$C,MATCH(B370,T2_GroupSKU!$A:$A,0)),T1_ProductType!$A:$A,0)),"")</f>
        <v>Plastic Barrels</v>
      </c>
      <c r="G370" s="10" t="str">
        <f t="array" ref="G370">IFERROR(IF(INDEX(T1_ProductType!$E:$E,MATCH(INDEX(T2_GroupSKU!$C:$C,MATCH(B370,T2_GroupSKU!$A:$A,0)),T1_ProductType!$A:$A,0))="","-",INDEX(T1_ProductType!$E:$E,MATCH(INDEX(T2_GroupSKU!$C:$C,MATCH(B370,T2_GroupSKU!$A:$A,0)),T1_ProductType!$A:$A,0))),"-")</f>
        <v>-</v>
      </c>
      <c r="H370" s="10">
        <f t="array" ref="H370">IFERROR(IF(INDEX(T2_GroupSKU!$D:$D,MATCH(B370,T2_GroupSKU!$A:$A,0))="","-",INDEX(T2_GroupSKU!$D:$D,MATCH(B370,T2_GroupSKU!$A:$A,0))),"-")</f>
        <v>2</v>
      </c>
      <c r="I370" s="10" t="str">
        <f t="array" ref="I370">IFERROR(IF(INDEX(T2_GroupSKU!$E:$E,MATCH(B370,T2_GroupSKU!$A:$A,0))="","-",INDEX(T2_GroupSKU!$E:$E,MATCH(B370,T2_GroupSKU!$A:$A,0))),"-")</f>
        <v>INCH</v>
      </c>
      <c r="J370" s="10" t="str">
        <f>T3_SKU!C370</f>
        <v>Black</v>
      </c>
      <c r="K370" s="10" t="str">
        <f>T3_SKU!D370</f>
        <v>2" PLAIN CAP BLACK</v>
      </c>
      <c r="L370" s="10" t="str">
        <f>T3_SKU!E370</f>
        <v>NOS</v>
      </c>
      <c r="M370" s="10" t="str">
        <f>T3_SKU!F370</f>
        <v>               </v>
      </c>
    </row>
    <row r="371" ht="15.0" customHeight="1">
      <c r="A371" s="10" t="str">
        <f>T3_SKU!A371</f>
        <v>PLCAP-2IN-YEL</v>
      </c>
      <c r="B371" s="10" t="str">
        <f>T3_SKU!B371</f>
        <v>PLCAP-2IN</v>
      </c>
      <c r="C371" s="10" t="str">
        <f t="array" ref="C371">IFERROR(INDEX(T2_GroupSKU!$B:$B,MATCH(B371,T2_GroupSKU!$A:$A,0)),"")</f>
        <v>Plain Cap - 2.0"</v>
      </c>
      <c r="D371" s="10" t="str">
        <f t="array" ref="D371">IFERROR(INDEX(T1_ProductType!$B:$B,MATCH(INDEX(T2_GroupSKU!$C:$C,MATCH(B371,T2_GroupSKU!$A:$A,0)),T1_ProductType!$A:$A,0)),"")</f>
        <v>Plain Cap</v>
      </c>
      <c r="E371" s="10" t="str">
        <f t="array" ref="E371">IFERROR(INDEX(T1_ProductType!$C:$C,MATCH(INDEX(T2_GroupSKU!$C:$C,MATCH(B371,T2_GroupSKU!$A:$A,0)),T1_ProductType!$A:$A,0)),"")</f>
        <v>Accessory</v>
      </c>
      <c r="F371" s="10" t="str">
        <f t="array" ref="F371">IFERROR(INDEX(T1_ProductType!$D:$D,MATCH(INDEX(T2_GroupSKU!$C:$C,MATCH(B371,T2_GroupSKU!$A:$A,0)),T1_ProductType!$A:$A,0)),"")</f>
        <v>Plastic Barrels</v>
      </c>
      <c r="G371" s="10" t="str">
        <f t="array" ref="G371">IFERROR(IF(INDEX(T1_ProductType!$E:$E,MATCH(INDEX(T2_GroupSKU!$C:$C,MATCH(B371,T2_GroupSKU!$A:$A,0)),T1_ProductType!$A:$A,0))="","-",INDEX(T1_ProductType!$E:$E,MATCH(INDEX(T2_GroupSKU!$C:$C,MATCH(B371,T2_GroupSKU!$A:$A,0)),T1_ProductType!$A:$A,0))),"-")</f>
        <v>-</v>
      </c>
      <c r="H371" s="10">
        <f t="array" ref="H371">IFERROR(IF(INDEX(T2_GroupSKU!$D:$D,MATCH(B371,T2_GroupSKU!$A:$A,0))="","-",INDEX(T2_GroupSKU!$D:$D,MATCH(B371,T2_GroupSKU!$A:$A,0))),"-")</f>
        <v>2</v>
      </c>
      <c r="I371" s="10" t="str">
        <f t="array" ref="I371">IFERROR(IF(INDEX(T2_GroupSKU!$E:$E,MATCH(B371,T2_GroupSKU!$A:$A,0))="","-",INDEX(T2_GroupSKU!$E:$E,MATCH(B371,T2_GroupSKU!$A:$A,0))),"-")</f>
        <v>INCH</v>
      </c>
      <c r="J371" s="10" t="str">
        <f>T3_SKU!C371</f>
        <v>Yellow</v>
      </c>
      <c r="K371" s="10" t="str">
        <f>T3_SKU!D371</f>
        <v>2" PLAIN CAP YELLOW</v>
      </c>
      <c r="L371" s="10" t="str">
        <f>T3_SKU!E371</f>
        <v>NOS</v>
      </c>
      <c r="M371" s="10" t="str">
        <f>T3_SKU!F371</f>
        <v>39235010</v>
      </c>
    </row>
    <row r="372" ht="15.0" customHeight="1">
      <c r="A372" s="10" t="str">
        <f>T3_SKU!A372</f>
        <v>PLCAP-6IN-BLK-1</v>
      </c>
      <c r="B372" s="10" t="str">
        <f>T3_SKU!B372</f>
        <v>PLCAP-6IN</v>
      </c>
      <c r="C372" s="10" t="str">
        <f t="array" ref="C372">IFERROR(INDEX(T2_GroupSKU!$B:$B,MATCH(B372,T2_GroupSKU!$A:$A,0)),"")</f>
        <v>Plain Cap - 6.0"</v>
      </c>
      <c r="D372" s="10" t="str">
        <f t="array" ref="D372">IFERROR(INDEX(T1_ProductType!$B:$B,MATCH(INDEX(T2_GroupSKU!$C:$C,MATCH(B372,T2_GroupSKU!$A:$A,0)),T1_ProductType!$A:$A,0)),"")</f>
        <v>Plain Cap</v>
      </c>
      <c r="E372" s="10" t="str">
        <f t="array" ref="E372">IFERROR(INDEX(T1_ProductType!$C:$C,MATCH(INDEX(T2_GroupSKU!$C:$C,MATCH(B372,T2_GroupSKU!$A:$A,0)),T1_ProductType!$A:$A,0)),"")</f>
        <v>Accessory</v>
      </c>
      <c r="F372" s="10" t="str">
        <f t="array" ref="F372">IFERROR(INDEX(T1_ProductType!$D:$D,MATCH(INDEX(T2_GroupSKU!$C:$C,MATCH(B372,T2_GroupSKU!$A:$A,0)),T1_ProductType!$A:$A,0)),"")</f>
        <v>Plastic Barrels</v>
      </c>
      <c r="G372" s="10" t="str">
        <f t="array" ref="G372">IFERROR(IF(INDEX(T1_ProductType!$E:$E,MATCH(INDEX(T2_GroupSKU!$C:$C,MATCH(B372,T2_GroupSKU!$A:$A,0)),T1_ProductType!$A:$A,0))="","-",INDEX(T1_ProductType!$E:$E,MATCH(INDEX(T2_GroupSKU!$C:$C,MATCH(B372,T2_GroupSKU!$A:$A,0)),T1_ProductType!$A:$A,0))),"-")</f>
        <v>-</v>
      </c>
      <c r="H372" s="10">
        <f t="array" ref="H372">IFERROR(IF(INDEX(T2_GroupSKU!$D:$D,MATCH(B372,T2_GroupSKU!$A:$A,0))="","-",INDEX(T2_GroupSKU!$D:$D,MATCH(B372,T2_GroupSKU!$A:$A,0))),"-")</f>
        <v>6</v>
      </c>
      <c r="I372" s="10" t="str">
        <f t="array" ref="I372">IFERROR(IF(INDEX(T2_GroupSKU!$E:$E,MATCH(B372,T2_GroupSKU!$A:$A,0))="","-",INDEX(T2_GroupSKU!$E:$E,MATCH(B372,T2_GroupSKU!$A:$A,0))),"-")</f>
        <v>INCH</v>
      </c>
      <c r="J372" s="10" t="str">
        <f>T3_SKU!C372</f>
        <v>Black</v>
      </c>
      <c r="K372" s="10" t="str">
        <f>T3_SKU!D372</f>
        <v>6" PLAIN CAP BLACK</v>
      </c>
      <c r="L372" s="10" t="str">
        <f>T3_SKU!E372</f>
        <v>NOS</v>
      </c>
      <c r="M372" s="10" t="str">
        <f>T3_SKU!F372</f>
        <v>39235010</v>
      </c>
    </row>
    <row r="373" ht="15.0" customHeight="1">
      <c r="A373" s="10" t="str">
        <f>T3_SKU!A373</f>
        <v>PLCAP-6IN-BLK-2</v>
      </c>
      <c r="B373" s="10" t="str">
        <f>T3_SKU!B373</f>
        <v>PLCAP-6IN</v>
      </c>
      <c r="C373" s="10" t="str">
        <f t="array" ref="C373">IFERROR(INDEX(T2_GroupSKU!$B:$B,MATCH(B373,T2_GroupSKU!$A:$A,0)),"")</f>
        <v>Plain Cap - 6.0"</v>
      </c>
      <c r="D373" s="10" t="str">
        <f t="array" ref="D373">IFERROR(INDEX(T1_ProductType!$B:$B,MATCH(INDEX(T2_GroupSKU!$C:$C,MATCH(B373,T2_GroupSKU!$A:$A,0)),T1_ProductType!$A:$A,0)),"")</f>
        <v>Plain Cap</v>
      </c>
      <c r="E373" s="10" t="str">
        <f t="array" ref="E373">IFERROR(INDEX(T1_ProductType!$C:$C,MATCH(INDEX(T2_GroupSKU!$C:$C,MATCH(B373,T2_GroupSKU!$A:$A,0)),T1_ProductType!$A:$A,0)),"")</f>
        <v>Accessory</v>
      </c>
      <c r="F373" s="10" t="str">
        <f t="array" ref="F373">IFERROR(INDEX(T1_ProductType!$D:$D,MATCH(INDEX(T2_GroupSKU!$C:$C,MATCH(B373,T2_GroupSKU!$A:$A,0)),T1_ProductType!$A:$A,0)),"")</f>
        <v>Plastic Barrels</v>
      </c>
      <c r="G373" s="10" t="str">
        <f t="array" ref="G373">IFERROR(IF(INDEX(T1_ProductType!$E:$E,MATCH(INDEX(T2_GroupSKU!$C:$C,MATCH(B373,T2_GroupSKU!$A:$A,0)),T1_ProductType!$A:$A,0))="","-",INDEX(T1_ProductType!$E:$E,MATCH(INDEX(T2_GroupSKU!$C:$C,MATCH(B373,T2_GroupSKU!$A:$A,0)),T1_ProductType!$A:$A,0))),"-")</f>
        <v>-</v>
      </c>
      <c r="H373" s="10">
        <f t="array" ref="H373">IFERROR(IF(INDEX(T2_GroupSKU!$D:$D,MATCH(B373,T2_GroupSKU!$A:$A,0))="","-",INDEX(T2_GroupSKU!$D:$D,MATCH(B373,T2_GroupSKU!$A:$A,0))),"-")</f>
        <v>6</v>
      </c>
      <c r="I373" s="10" t="str">
        <f t="array" ref="I373">IFERROR(IF(INDEX(T2_GroupSKU!$E:$E,MATCH(B373,T2_GroupSKU!$A:$A,0))="","-",INDEX(T2_GroupSKU!$E:$E,MATCH(B373,T2_GroupSKU!$A:$A,0))),"-")</f>
        <v>INCH</v>
      </c>
      <c r="J373" s="10" t="str">
        <f>T3_SKU!C373</f>
        <v>Black / Ibc</v>
      </c>
      <c r="K373" s="10" t="str">
        <f>T3_SKU!D373</f>
        <v>6" PLAIN CAP BLACK (IBC)</v>
      </c>
      <c r="L373" s="10" t="str">
        <f>T3_SKU!E373</f>
        <v>NOS</v>
      </c>
      <c r="M373" s="10" t="str">
        <f>T3_SKU!F373</f>
        <v>39235010</v>
      </c>
    </row>
    <row r="374" ht="15.0" customHeight="1">
      <c r="A374" s="10" t="str">
        <f>T3_SKU!A374</f>
        <v>PLCAP-6IN-RED</v>
      </c>
      <c r="B374" s="10" t="str">
        <f>T3_SKU!B374</f>
        <v>PLCAP-6IN</v>
      </c>
      <c r="C374" s="10" t="str">
        <f t="array" ref="C374">IFERROR(INDEX(T2_GroupSKU!$B:$B,MATCH(B374,T2_GroupSKU!$A:$A,0)),"")</f>
        <v>Plain Cap - 6.0"</v>
      </c>
      <c r="D374" s="10" t="str">
        <f t="array" ref="D374">IFERROR(INDEX(T1_ProductType!$B:$B,MATCH(INDEX(T2_GroupSKU!$C:$C,MATCH(B374,T2_GroupSKU!$A:$A,0)),T1_ProductType!$A:$A,0)),"")</f>
        <v>Plain Cap</v>
      </c>
      <c r="E374" s="10" t="str">
        <f t="array" ref="E374">IFERROR(INDEX(T1_ProductType!$C:$C,MATCH(INDEX(T2_GroupSKU!$C:$C,MATCH(B374,T2_GroupSKU!$A:$A,0)),T1_ProductType!$A:$A,0)),"")</f>
        <v>Accessory</v>
      </c>
      <c r="F374" s="10" t="str">
        <f t="array" ref="F374">IFERROR(INDEX(T1_ProductType!$D:$D,MATCH(INDEX(T2_GroupSKU!$C:$C,MATCH(B374,T2_GroupSKU!$A:$A,0)),T1_ProductType!$A:$A,0)),"")</f>
        <v>Plastic Barrels</v>
      </c>
      <c r="G374" s="10" t="str">
        <f t="array" ref="G374">IFERROR(IF(INDEX(T1_ProductType!$E:$E,MATCH(INDEX(T2_GroupSKU!$C:$C,MATCH(B374,T2_GroupSKU!$A:$A,0)),T1_ProductType!$A:$A,0))="","-",INDEX(T1_ProductType!$E:$E,MATCH(INDEX(T2_GroupSKU!$C:$C,MATCH(B374,T2_GroupSKU!$A:$A,0)),T1_ProductType!$A:$A,0))),"-")</f>
        <v>-</v>
      </c>
      <c r="H374" s="10">
        <f t="array" ref="H374">IFERROR(IF(INDEX(T2_GroupSKU!$D:$D,MATCH(B374,T2_GroupSKU!$A:$A,0))="","-",INDEX(T2_GroupSKU!$D:$D,MATCH(B374,T2_GroupSKU!$A:$A,0))),"-")</f>
        <v>6</v>
      </c>
      <c r="I374" s="10" t="str">
        <f t="array" ref="I374">IFERROR(IF(INDEX(T2_GroupSKU!$E:$E,MATCH(B374,T2_GroupSKU!$A:$A,0))="","-",INDEX(T2_GroupSKU!$E:$E,MATCH(B374,T2_GroupSKU!$A:$A,0))),"-")</f>
        <v>INCH</v>
      </c>
      <c r="J374" s="10" t="str">
        <f>T3_SKU!C374</f>
        <v>Red</v>
      </c>
      <c r="K374" s="10" t="str">
        <f>T3_SKU!D374</f>
        <v>6" PLAIN CAP RED</v>
      </c>
      <c r="L374" s="10" t="str">
        <f>T3_SKU!E374</f>
        <v>NOS</v>
      </c>
      <c r="M374" s="10" t="str">
        <f>T3_SKU!F374</f>
        <v>39235010</v>
      </c>
    </row>
    <row r="375" ht="15.0" customHeight="1">
      <c r="A375" s="10" t="str">
        <f>T3_SKU!A375</f>
        <v>PLCAP-8IN-BLK-1</v>
      </c>
      <c r="B375" s="10" t="str">
        <f>T3_SKU!B375</f>
        <v>PLCAP-8IN</v>
      </c>
      <c r="C375" s="10" t="str">
        <f t="array" ref="C375">IFERROR(INDEX(T2_GroupSKU!$B:$B,MATCH(B375,T2_GroupSKU!$A:$A,0)),"")</f>
        <v>Plain Cap - 8.0"</v>
      </c>
      <c r="D375" s="10" t="str">
        <f t="array" ref="D375">IFERROR(INDEX(T1_ProductType!$B:$B,MATCH(INDEX(T2_GroupSKU!$C:$C,MATCH(B375,T2_GroupSKU!$A:$A,0)),T1_ProductType!$A:$A,0)),"")</f>
        <v>Plain Cap</v>
      </c>
      <c r="E375" s="10" t="str">
        <f t="array" ref="E375">IFERROR(INDEX(T1_ProductType!$C:$C,MATCH(INDEX(T2_GroupSKU!$C:$C,MATCH(B375,T2_GroupSKU!$A:$A,0)),T1_ProductType!$A:$A,0)),"")</f>
        <v>Accessory</v>
      </c>
      <c r="F375" s="10" t="str">
        <f t="array" ref="F375">IFERROR(INDEX(T1_ProductType!$D:$D,MATCH(INDEX(T2_GroupSKU!$C:$C,MATCH(B375,T2_GroupSKU!$A:$A,0)),T1_ProductType!$A:$A,0)),"")</f>
        <v>Plastic Barrels</v>
      </c>
      <c r="G375" s="10" t="str">
        <f t="array" ref="G375">IFERROR(IF(INDEX(T1_ProductType!$E:$E,MATCH(INDEX(T2_GroupSKU!$C:$C,MATCH(B375,T2_GroupSKU!$A:$A,0)),T1_ProductType!$A:$A,0))="","-",INDEX(T1_ProductType!$E:$E,MATCH(INDEX(T2_GroupSKU!$C:$C,MATCH(B375,T2_GroupSKU!$A:$A,0)),T1_ProductType!$A:$A,0))),"-")</f>
        <v>-</v>
      </c>
      <c r="H375" s="10">
        <f t="array" ref="H375">IFERROR(IF(INDEX(T2_GroupSKU!$D:$D,MATCH(B375,T2_GroupSKU!$A:$A,0))="","-",INDEX(T2_GroupSKU!$D:$D,MATCH(B375,T2_GroupSKU!$A:$A,0))),"-")</f>
        <v>8</v>
      </c>
      <c r="I375" s="10" t="str">
        <f t="array" ref="I375">IFERROR(IF(INDEX(T2_GroupSKU!$E:$E,MATCH(B375,T2_GroupSKU!$A:$A,0))="","-",INDEX(T2_GroupSKU!$E:$E,MATCH(B375,T2_GroupSKU!$A:$A,0))),"-")</f>
        <v>INCH</v>
      </c>
      <c r="J375" s="10" t="str">
        <f>T3_SKU!C375</f>
        <v>Black</v>
      </c>
      <c r="K375" s="10" t="str">
        <f>T3_SKU!D375</f>
        <v>8'' PLAIN CAP BLACK</v>
      </c>
      <c r="L375" s="10" t="str">
        <f>T3_SKU!E375</f>
        <v>NOS</v>
      </c>
      <c r="M375" s="10" t="str">
        <f>T3_SKU!F375</f>
        <v>39235010</v>
      </c>
    </row>
    <row r="376" ht="15.0" customHeight="1">
      <c r="A376" s="10" t="str">
        <f>T3_SKU!A376</f>
        <v>PLCAP-8IN-BLK-2</v>
      </c>
      <c r="B376" s="10" t="str">
        <f>T3_SKU!B376</f>
        <v>PLCAP-8IN</v>
      </c>
      <c r="C376" s="10" t="str">
        <f t="array" ref="C376">IFERROR(INDEX(T2_GroupSKU!$B:$B,MATCH(B376,T2_GroupSKU!$A:$A,0)),"")</f>
        <v>Plain Cap - 8.0"</v>
      </c>
      <c r="D376" s="10" t="str">
        <f t="array" ref="D376">IFERROR(INDEX(T1_ProductType!$B:$B,MATCH(INDEX(T2_GroupSKU!$C:$C,MATCH(B376,T2_GroupSKU!$A:$A,0)),T1_ProductType!$A:$A,0)),"")</f>
        <v>Plain Cap</v>
      </c>
      <c r="E376" s="10" t="str">
        <f t="array" ref="E376">IFERROR(INDEX(T1_ProductType!$C:$C,MATCH(INDEX(T2_GroupSKU!$C:$C,MATCH(B376,T2_GroupSKU!$A:$A,0)),T1_ProductType!$A:$A,0)),"")</f>
        <v>Accessory</v>
      </c>
      <c r="F376" s="10" t="str">
        <f t="array" ref="F376">IFERROR(INDEX(T1_ProductType!$D:$D,MATCH(INDEX(T2_GroupSKU!$C:$C,MATCH(B376,T2_GroupSKU!$A:$A,0)),T1_ProductType!$A:$A,0)),"")</f>
        <v>Plastic Barrels</v>
      </c>
      <c r="G376" s="10" t="str">
        <f t="array" ref="G376">IFERROR(IF(INDEX(T1_ProductType!$E:$E,MATCH(INDEX(T2_GroupSKU!$C:$C,MATCH(B376,T2_GroupSKU!$A:$A,0)),T1_ProductType!$A:$A,0))="","-",INDEX(T1_ProductType!$E:$E,MATCH(INDEX(T2_GroupSKU!$C:$C,MATCH(B376,T2_GroupSKU!$A:$A,0)),T1_ProductType!$A:$A,0))),"-")</f>
        <v>-</v>
      </c>
      <c r="H376" s="10">
        <f t="array" ref="H376">IFERROR(IF(INDEX(T2_GroupSKU!$D:$D,MATCH(B376,T2_GroupSKU!$A:$A,0))="","-",INDEX(T2_GroupSKU!$D:$D,MATCH(B376,T2_GroupSKU!$A:$A,0))),"-")</f>
        <v>8</v>
      </c>
      <c r="I376" s="10" t="str">
        <f t="array" ref="I376">IFERROR(IF(INDEX(T2_GroupSKU!$E:$E,MATCH(B376,T2_GroupSKU!$A:$A,0))="","-",INDEX(T2_GroupSKU!$E:$E,MATCH(B376,T2_GroupSKU!$A:$A,0))),"-")</f>
        <v>INCH</v>
      </c>
      <c r="J376" s="10" t="str">
        <f>T3_SKU!C376</f>
        <v>Black</v>
      </c>
      <c r="K376" s="10" t="str">
        <f>T3_SKU!D376</f>
        <v>8" PLAIN CAP BLACK</v>
      </c>
      <c r="L376" s="10" t="str">
        <f>T3_SKU!E376</f>
        <v>NOS</v>
      </c>
      <c r="M376" s="10" t="str">
        <f>T3_SKU!F376</f>
        <v>39235010</v>
      </c>
    </row>
    <row r="377" ht="15.0" customHeight="1">
      <c r="A377" s="10" t="str">
        <f>T3_SKU!A377</f>
        <v>PLCAP-8IN-GRN</v>
      </c>
      <c r="B377" s="10" t="str">
        <f>T3_SKU!B377</f>
        <v>PLCAP-8IN</v>
      </c>
      <c r="C377" s="10" t="str">
        <f t="array" ref="C377">IFERROR(INDEX(T2_GroupSKU!$B:$B,MATCH(B377,T2_GroupSKU!$A:$A,0)),"")</f>
        <v>Plain Cap - 8.0"</v>
      </c>
      <c r="D377" s="10" t="str">
        <f t="array" ref="D377">IFERROR(INDEX(T1_ProductType!$B:$B,MATCH(INDEX(T2_GroupSKU!$C:$C,MATCH(B377,T2_GroupSKU!$A:$A,0)),T1_ProductType!$A:$A,0)),"")</f>
        <v>Plain Cap</v>
      </c>
      <c r="E377" s="10" t="str">
        <f t="array" ref="E377">IFERROR(INDEX(T1_ProductType!$C:$C,MATCH(INDEX(T2_GroupSKU!$C:$C,MATCH(B377,T2_GroupSKU!$A:$A,0)),T1_ProductType!$A:$A,0)),"")</f>
        <v>Accessory</v>
      </c>
      <c r="F377" s="10" t="str">
        <f t="array" ref="F377">IFERROR(INDEX(T1_ProductType!$D:$D,MATCH(INDEX(T2_GroupSKU!$C:$C,MATCH(B377,T2_GroupSKU!$A:$A,0)),T1_ProductType!$A:$A,0)),"")</f>
        <v>Plastic Barrels</v>
      </c>
      <c r="G377" s="10" t="str">
        <f t="array" ref="G377">IFERROR(IF(INDEX(T1_ProductType!$E:$E,MATCH(INDEX(T2_GroupSKU!$C:$C,MATCH(B377,T2_GroupSKU!$A:$A,0)),T1_ProductType!$A:$A,0))="","-",INDEX(T1_ProductType!$E:$E,MATCH(INDEX(T2_GroupSKU!$C:$C,MATCH(B377,T2_GroupSKU!$A:$A,0)),T1_ProductType!$A:$A,0))),"-")</f>
        <v>-</v>
      </c>
      <c r="H377" s="10">
        <f t="array" ref="H377">IFERROR(IF(INDEX(T2_GroupSKU!$D:$D,MATCH(B377,T2_GroupSKU!$A:$A,0))="","-",INDEX(T2_GroupSKU!$D:$D,MATCH(B377,T2_GroupSKU!$A:$A,0))),"-")</f>
        <v>8</v>
      </c>
      <c r="I377" s="10" t="str">
        <f t="array" ref="I377">IFERROR(IF(INDEX(T2_GroupSKU!$E:$E,MATCH(B377,T2_GroupSKU!$A:$A,0))="","-",INDEX(T2_GroupSKU!$E:$E,MATCH(B377,T2_GroupSKU!$A:$A,0))),"-")</f>
        <v>INCH</v>
      </c>
      <c r="J377" s="10" t="str">
        <f>T3_SKU!C377</f>
        <v>Green</v>
      </c>
      <c r="K377" s="10" t="str">
        <f>T3_SKU!D377</f>
        <v>8'' PLAIN CAP GREEN</v>
      </c>
      <c r="L377" s="10" t="str">
        <f>T3_SKU!E377</f>
        <v>NOS</v>
      </c>
      <c r="M377" s="10" t="str">
        <f>T3_SKU!F377</f>
        <v>39235010</v>
      </c>
    </row>
    <row r="378" ht="15.0" customHeight="1">
      <c r="A378" s="10" t="str">
        <f>T3_SKU!A378</f>
        <v>PLRING-14IN-BLK</v>
      </c>
      <c r="B378" s="10" t="str">
        <f>T3_SKU!B378</f>
        <v>PLRING-14IN</v>
      </c>
      <c r="C378" s="10" t="str">
        <f t="array" ref="C378">IFERROR(INDEX(T2_GroupSKU!$B:$B,MATCH(B378,T2_GroupSKU!$A:$A,0)),"")</f>
        <v>Plastic Ring - 14.0"</v>
      </c>
      <c r="D378" s="10" t="str">
        <f t="array" ref="D378">IFERROR(INDEX(T1_ProductType!$B:$B,MATCH(INDEX(T2_GroupSKU!$C:$C,MATCH(B378,T2_GroupSKU!$A:$A,0)),T1_ProductType!$A:$A,0)),"")</f>
        <v>Plastic Ring</v>
      </c>
      <c r="E378" s="10" t="str">
        <f t="array" ref="E378">IFERROR(INDEX(T1_ProductType!$C:$C,MATCH(INDEX(T2_GroupSKU!$C:$C,MATCH(B378,T2_GroupSKU!$A:$A,0)),T1_ProductType!$A:$A,0)),"")</f>
        <v>Accessory</v>
      </c>
      <c r="F378" s="10" t="str">
        <f t="array" ref="F378">IFERROR(INDEX(T1_ProductType!$D:$D,MATCH(INDEX(T2_GroupSKU!$C:$C,MATCH(B378,T2_GroupSKU!$A:$A,0)),T1_ProductType!$A:$A,0)),"")</f>
        <v>Plastic Barrels</v>
      </c>
      <c r="G378" s="10" t="str">
        <f t="array" ref="G378">IFERROR(IF(INDEX(T1_ProductType!$E:$E,MATCH(INDEX(T2_GroupSKU!$C:$C,MATCH(B378,T2_GroupSKU!$A:$A,0)),T1_ProductType!$A:$A,0))="","-",INDEX(T1_ProductType!$E:$E,MATCH(INDEX(T2_GroupSKU!$C:$C,MATCH(B378,T2_GroupSKU!$A:$A,0)),T1_ProductType!$A:$A,0))),"-")</f>
        <v>-</v>
      </c>
      <c r="H378" s="10">
        <f t="array" ref="H378">IFERROR(IF(INDEX(T2_GroupSKU!$D:$D,MATCH(B378,T2_GroupSKU!$A:$A,0))="","-",INDEX(T2_GroupSKU!$D:$D,MATCH(B378,T2_GroupSKU!$A:$A,0))),"-")</f>
        <v>14</v>
      </c>
      <c r="I378" s="10" t="str">
        <f t="array" ref="I378">IFERROR(IF(INDEX(T2_GroupSKU!$E:$E,MATCH(B378,T2_GroupSKU!$A:$A,0))="","-",INDEX(T2_GroupSKU!$E:$E,MATCH(B378,T2_GroupSKU!$A:$A,0))),"-")</f>
        <v>INCH</v>
      </c>
      <c r="J378" s="10" t="str">
        <f>T3_SKU!C378</f>
        <v>Black</v>
      </c>
      <c r="K378" s="10" t="str">
        <f>T3_SKU!D378</f>
        <v>14" PLASTIC RING-BLACK</v>
      </c>
      <c r="L378" s="10" t="str">
        <f>T3_SKU!E378</f>
        <v>NOS</v>
      </c>
      <c r="M378" s="10" t="str">
        <f>T3_SKU!F378</f>
        <v>39235010</v>
      </c>
    </row>
    <row r="379" ht="15.0" customHeight="1">
      <c r="A379" s="10" t="str">
        <f>T3_SKU!A379</f>
        <v>PPCAP-1IN-BLK</v>
      </c>
      <c r="B379" s="10" t="str">
        <f>T3_SKU!B379</f>
        <v>PPCAP-1IN</v>
      </c>
      <c r="C379" s="10" t="str">
        <f t="array" ref="C379">IFERROR(INDEX(T2_GroupSKU!$B:$B,MATCH(B379,T2_GroupSKU!$A:$A,0)),"")</f>
        <v>PP Cap - 1.0"</v>
      </c>
      <c r="D379" s="10" t="str">
        <f t="array" ref="D379">IFERROR(INDEX(T1_ProductType!$B:$B,MATCH(INDEX(T2_GroupSKU!$C:$C,MATCH(B379,T2_GroupSKU!$A:$A,0)),T1_ProductType!$A:$A,0)),"")</f>
        <v>PP Cap</v>
      </c>
      <c r="E379" s="10" t="str">
        <f t="array" ref="E379">IFERROR(INDEX(T1_ProductType!$C:$C,MATCH(INDEX(T2_GroupSKU!$C:$C,MATCH(B379,T2_GroupSKU!$A:$A,0)),T1_ProductType!$A:$A,0)),"")</f>
        <v>Accessory</v>
      </c>
      <c r="F379" s="10" t="str">
        <f t="array" ref="F379">IFERROR(INDEX(T1_ProductType!$D:$D,MATCH(INDEX(T2_GroupSKU!$C:$C,MATCH(B379,T2_GroupSKU!$A:$A,0)),T1_ProductType!$A:$A,0)),"")</f>
        <v>Plastic Barrels</v>
      </c>
      <c r="G379" s="10" t="str">
        <f t="array" ref="G379">IFERROR(IF(INDEX(T1_ProductType!$E:$E,MATCH(INDEX(T2_GroupSKU!$C:$C,MATCH(B379,T2_GroupSKU!$A:$A,0)),T1_ProductType!$A:$A,0))="","-",INDEX(T1_ProductType!$E:$E,MATCH(INDEX(T2_GroupSKU!$C:$C,MATCH(B379,T2_GroupSKU!$A:$A,0)),T1_ProductType!$A:$A,0))),"-")</f>
        <v>-</v>
      </c>
      <c r="H379" s="10">
        <f t="array" ref="H379">IFERROR(IF(INDEX(T2_GroupSKU!$D:$D,MATCH(B379,T2_GroupSKU!$A:$A,0))="","-",INDEX(T2_GroupSKU!$D:$D,MATCH(B379,T2_GroupSKU!$A:$A,0))),"-")</f>
        <v>1</v>
      </c>
      <c r="I379" s="10" t="str">
        <f t="array" ref="I379">IFERROR(IF(INDEX(T2_GroupSKU!$E:$E,MATCH(B379,T2_GroupSKU!$A:$A,0))="","-",INDEX(T2_GroupSKU!$E:$E,MATCH(B379,T2_GroupSKU!$A:$A,0))),"-")</f>
        <v>INCH</v>
      </c>
      <c r="J379" s="10" t="str">
        <f>T3_SKU!C379</f>
        <v>Black</v>
      </c>
      <c r="K379" s="10" t="str">
        <f>T3_SKU!D379</f>
        <v>1" PP CAP BLACK</v>
      </c>
      <c r="L379" s="10" t="str">
        <f>T3_SKU!E379</f>
        <v>NOS</v>
      </c>
      <c r="M379" s="10" t="str">
        <f>T3_SKU!F379</f>
        <v>               </v>
      </c>
    </row>
    <row r="380" ht="15.0" customHeight="1">
      <c r="A380" s="10" t="str">
        <f>T3_SKU!A380</f>
        <v>PPCAP-2IN-BLK</v>
      </c>
      <c r="B380" s="10" t="str">
        <f>T3_SKU!B380</f>
        <v>PPCAP-2IN</v>
      </c>
      <c r="C380" s="10" t="str">
        <f t="array" ref="C380">IFERROR(INDEX(T2_GroupSKU!$B:$B,MATCH(B380,T2_GroupSKU!$A:$A,0)),"")</f>
        <v>PP Cap - 2.0"</v>
      </c>
      <c r="D380" s="10" t="str">
        <f t="array" ref="D380">IFERROR(INDEX(T1_ProductType!$B:$B,MATCH(INDEX(T2_GroupSKU!$C:$C,MATCH(B380,T2_GroupSKU!$A:$A,0)),T1_ProductType!$A:$A,0)),"")</f>
        <v>PP Cap</v>
      </c>
      <c r="E380" s="10" t="str">
        <f t="array" ref="E380">IFERROR(INDEX(T1_ProductType!$C:$C,MATCH(INDEX(T2_GroupSKU!$C:$C,MATCH(B380,T2_GroupSKU!$A:$A,0)),T1_ProductType!$A:$A,0)),"")</f>
        <v>Accessory</v>
      </c>
      <c r="F380" s="10" t="str">
        <f t="array" ref="F380">IFERROR(INDEX(T1_ProductType!$D:$D,MATCH(INDEX(T2_GroupSKU!$C:$C,MATCH(B380,T2_GroupSKU!$A:$A,0)),T1_ProductType!$A:$A,0)),"")</f>
        <v>Plastic Barrels</v>
      </c>
      <c r="G380" s="10" t="str">
        <f t="array" ref="G380">IFERROR(IF(INDEX(T1_ProductType!$E:$E,MATCH(INDEX(T2_GroupSKU!$C:$C,MATCH(B380,T2_GroupSKU!$A:$A,0)),T1_ProductType!$A:$A,0))="","-",INDEX(T1_ProductType!$E:$E,MATCH(INDEX(T2_GroupSKU!$C:$C,MATCH(B380,T2_GroupSKU!$A:$A,0)),T1_ProductType!$A:$A,0))),"-")</f>
        <v>-</v>
      </c>
      <c r="H380" s="10">
        <f t="array" ref="H380">IFERROR(IF(INDEX(T2_GroupSKU!$D:$D,MATCH(B380,T2_GroupSKU!$A:$A,0))="","-",INDEX(T2_GroupSKU!$D:$D,MATCH(B380,T2_GroupSKU!$A:$A,0))),"-")</f>
        <v>2</v>
      </c>
      <c r="I380" s="10" t="str">
        <f t="array" ref="I380">IFERROR(IF(INDEX(T2_GroupSKU!$E:$E,MATCH(B380,T2_GroupSKU!$A:$A,0))="","-",INDEX(T2_GroupSKU!$E:$E,MATCH(B380,T2_GroupSKU!$A:$A,0))),"-")</f>
        <v>INCH</v>
      </c>
      <c r="J380" s="10" t="str">
        <f>T3_SKU!C380</f>
        <v>Black</v>
      </c>
      <c r="K380" s="10" t="str">
        <f>T3_SKU!D380</f>
        <v>2'' PP CAP BLACK</v>
      </c>
      <c r="L380" s="10" t="str">
        <f>T3_SKU!E380</f>
        <v>NOS</v>
      </c>
      <c r="M380" s="10" t="str">
        <f>T3_SKU!F380</f>
        <v>39235010</v>
      </c>
    </row>
    <row r="381" ht="15.0" customHeight="1">
      <c r="A381" s="10" t="str">
        <f>T3_SKU!A381</f>
        <v>PPCAP-2IN-BLU</v>
      </c>
      <c r="B381" s="10" t="str">
        <f>T3_SKU!B381</f>
        <v>PPCAP-2IN</v>
      </c>
      <c r="C381" s="10" t="str">
        <f t="array" ref="C381">IFERROR(INDEX(T2_GroupSKU!$B:$B,MATCH(B381,T2_GroupSKU!$A:$A,0)),"")</f>
        <v>PP Cap - 2.0"</v>
      </c>
      <c r="D381" s="10" t="str">
        <f t="array" ref="D381">IFERROR(INDEX(T1_ProductType!$B:$B,MATCH(INDEX(T2_GroupSKU!$C:$C,MATCH(B381,T2_GroupSKU!$A:$A,0)),T1_ProductType!$A:$A,0)),"")</f>
        <v>PP Cap</v>
      </c>
      <c r="E381" s="10" t="str">
        <f t="array" ref="E381">IFERROR(INDEX(T1_ProductType!$C:$C,MATCH(INDEX(T2_GroupSKU!$C:$C,MATCH(B381,T2_GroupSKU!$A:$A,0)),T1_ProductType!$A:$A,0)),"")</f>
        <v>Accessory</v>
      </c>
      <c r="F381" s="10" t="str">
        <f t="array" ref="F381">IFERROR(INDEX(T1_ProductType!$D:$D,MATCH(INDEX(T2_GroupSKU!$C:$C,MATCH(B381,T2_GroupSKU!$A:$A,0)),T1_ProductType!$A:$A,0)),"")</f>
        <v>Plastic Barrels</v>
      </c>
      <c r="G381" s="10" t="str">
        <f t="array" ref="G381">IFERROR(IF(INDEX(T1_ProductType!$E:$E,MATCH(INDEX(T2_GroupSKU!$C:$C,MATCH(B381,T2_GroupSKU!$A:$A,0)),T1_ProductType!$A:$A,0))="","-",INDEX(T1_ProductType!$E:$E,MATCH(INDEX(T2_GroupSKU!$C:$C,MATCH(B381,T2_GroupSKU!$A:$A,0)),T1_ProductType!$A:$A,0))),"-")</f>
        <v>-</v>
      </c>
      <c r="H381" s="10">
        <f t="array" ref="H381">IFERROR(IF(INDEX(T2_GroupSKU!$D:$D,MATCH(B381,T2_GroupSKU!$A:$A,0))="","-",INDEX(T2_GroupSKU!$D:$D,MATCH(B381,T2_GroupSKU!$A:$A,0))),"-")</f>
        <v>2</v>
      </c>
      <c r="I381" s="10" t="str">
        <f t="array" ref="I381">IFERROR(IF(INDEX(T2_GroupSKU!$E:$E,MATCH(B381,T2_GroupSKU!$A:$A,0))="","-",INDEX(T2_GroupSKU!$E:$E,MATCH(B381,T2_GroupSKU!$A:$A,0))),"-")</f>
        <v>INCH</v>
      </c>
      <c r="J381" s="10" t="str">
        <f>T3_SKU!C381</f>
        <v>Blue</v>
      </c>
      <c r="K381" s="10" t="str">
        <f>T3_SKU!D381</f>
        <v>2'' PP CAP BLUE</v>
      </c>
      <c r="L381" s="10" t="str">
        <f>T3_SKU!E381</f>
        <v>NOS</v>
      </c>
      <c r="M381" s="10" t="str">
        <f>T3_SKU!F381</f>
        <v>39235010</v>
      </c>
    </row>
    <row r="382" ht="15.0" customHeight="1">
      <c r="A382" s="10" t="str">
        <f>T3_SKU!A382</f>
        <v>PPCAP-2IN-GRN</v>
      </c>
      <c r="B382" s="10" t="str">
        <f>T3_SKU!B382</f>
        <v>PPCAP-2IN</v>
      </c>
      <c r="C382" s="10" t="str">
        <f t="array" ref="C382">IFERROR(INDEX(T2_GroupSKU!$B:$B,MATCH(B382,T2_GroupSKU!$A:$A,0)),"")</f>
        <v>PP Cap - 2.0"</v>
      </c>
      <c r="D382" s="10" t="str">
        <f t="array" ref="D382">IFERROR(INDEX(T1_ProductType!$B:$B,MATCH(INDEX(T2_GroupSKU!$C:$C,MATCH(B382,T2_GroupSKU!$A:$A,0)),T1_ProductType!$A:$A,0)),"")</f>
        <v>PP Cap</v>
      </c>
      <c r="E382" s="10" t="str">
        <f t="array" ref="E382">IFERROR(INDEX(T1_ProductType!$C:$C,MATCH(INDEX(T2_GroupSKU!$C:$C,MATCH(B382,T2_GroupSKU!$A:$A,0)),T1_ProductType!$A:$A,0)),"")</f>
        <v>Accessory</v>
      </c>
      <c r="F382" s="10" t="str">
        <f t="array" ref="F382">IFERROR(INDEX(T1_ProductType!$D:$D,MATCH(INDEX(T2_GroupSKU!$C:$C,MATCH(B382,T2_GroupSKU!$A:$A,0)),T1_ProductType!$A:$A,0)),"")</f>
        <v>Plastic Barrels</v>
      </c>
      <c r="G382" s="10" t="str">
        <f t="array" ref="G382">IFERROR(IF(INDEX(T1_ProductType!$E:$E,MATCH(INDEX(T2_GroupSKU!$C:$C,MATCH(B382,T2_GroupSKU!$A:$A,0)),T1_ProductType!$A:$A,0))="","-",INDEX(T1_ProductType!$E:$E,MATCH(INDEX(T2_GroupSKU!$C:$C,MATCH(B382,T2_GroupSKU!$A:$A,0)),T1_ProductType!$A:$A,0))),"-")</f>
        <v>-</v>
      </c>
      <c r="H382" s="10">
        <f t="array" ref="H382">IFERROR(IF(INDEX(T2_GroupSKU!$D:$D,MATCH(B382,T2_GroupSKU!$A:$A,0))="","-",INDEX(T2_GroupSKU!$D:$D,MATCH(B382,T2_GroupSKU!$A:$A,0))),"-")</f>
        <v>2</v>
      </c>
      <c r="I382" s="10" t="str">
        <f t="array" ref="I382">IFERROR(IF(INDEX(T2_GroupSKU!$E:$E,MATCH(B382,T2_GroupSKU!$A:$A,0))="","-",INDEX(T2_GroupSKU!$E:$E,MATCH(B382,T2_GroupSKU!$A:$A,0))),"-")</f>
        <v>INCH</v>
      </c>
      <c r="J382" s="10" t="str">
        <f>T3_SKU!C382</f>
        <v>Green</v>
      </c>
      <c r="K382" s="10" t="str">
        <f>T3_SKU!D382</f>
        <v>2" PP CAP GREEN</v>
      </c>
      <c r="L382" s="10" t="str">
        <f>T3_SKU!E382</f>
        <v>NOS</v>
      </c>
      <c r="M382" s="10" t="str">
        <f>T3_SKU!F382</f>
        <v>39235010</v>
      </c>
    </row>
    <row r="383" ht="15.0" customHeight="1">
      <c r="A383" s="10" t="str">
        <f>T3_SKU!A383</f>
        <v>PPCAP-2IN-RED</v>
      </c>
      <c r="B383" s="10" t="str">
        <f>T3_SKU!B383</f>
        <v>PPCAP-2IN</v>
      </c>
      <c r="C383" s="10" t="str">
        <f t="array" ref="C383">IFERROR(INDEX(T2_GroupSKU!$B:$B,MATCH(B383,T2_GroupSKU!$A:$A,0)),"")</f>
        <v>PP Cap - 2.0"</v>
      </c>
      <c r="D383" s="10" t="str">
        <f t="array" ref="D383">IFERROR(INDEX(T1_ProductType!$B:$B,MATCH(INDEX(T2_GroupSKU!$C:$C,MATCH(B383,T2_GroupSKU!$A:$A,0)),T1_ProductType!$A:$A,0)),"")</f>
        <v>PP Cap</v>
      </c>
      <c r="E383" s="10" t="str">
        <f t="array" ref="E383">IFERROR(INDEX(T1_ProductType!$C:$C,MATCH(INDEX(T2_GroupSKU!$C:$C,MATCH(B383,T2_GroupSKU!$A:$A,0)),T1_ProductType!$A:$A,0)),"")</f>
        <v>Accessory</v>
      </c>
      <c r="F383" s="10" t="str">
        <f t="array" ref="F383">IFERROR(INDEX(T1_ProductType!$D:$D,MATCH(INDEX(T2_GroupSKU!$C:$C,MATCH(B383,T2_GroupSKU!$A:$A,0)),T1_ProductType!$A:$A,0)),"")</f>
        <v>Plastic Barrels</v>
      </c>
      <c r="G383" s="10" t="str">
        <f t="array" ref="G383">IFERROR(IF(INDEX(T1_ProductType!$E:$E,MATCH(INDEX(T2_GroupSKU!$C:$C,MATCH(B383,T2_GroupSKU!$A:$A,0)),T1_ProductType!$A:$A,0))="","-",INDEX(T1_ProductType!$E:$E,MATCH(INDEX(T2_GroupSKU!$C:$C,MATCH(B383,T2_GroupSKU!$A:$A,0)),T1_ProductType!$A:$A,0))),"-")</f>
        <v>-</v>
      </c>
      <c r="H383" s="10">
        <f t="array" ref="H383">IFERROR(IF(INDEX(T2_GroupSKU!$D:$D,MATCH(B383,T2_GroupSKU!$A:$A,0))="","-",INDEX(T2_GroupSKU!$D:$D,MATCH(B383,T2_GroupSKU!$A:$A,0))),"-")</f>
        <v>2</v>
      </c>
      <c r="I383" s="10" t="str">
        <f t="array" ref="I383">IFERROR(IF(INDEX(T2_GroupSKU!$E:$E,MATCH(B383,T2_GroupSKU!$A:$A,0))="","-",INDEX(T2_GroupSKU!$E:$E,MATCH(B383,T2_GroupSKU!$A:$A,0))),"-")</f>
        <v>INCH</v>
      </c>
      <c r="J383" s="10" t="str">
        <f>T3_SKU!C383</f>
        <v>Red</v>
      </c>
      <c r="K383" s="10" t="str">
        <f>T3_SKU!D383</f>
        <v>2" PP CAP RED</v>
      </c>
      <c r="L383" s="10" t="str">
        <f>T3_SKU!E383</f>
        <v>NOS</v>
      </c>
      <c r="M383" s="10" t="str">
        <f>T3_SKU!F383</f>
        <v>39235010</v>
      </c>
    </row>
    <row r="384" ht="15.0" customHeight="1">
      <c r="A384" s="10" t="str">
        <f>T3_SKU!A384</f>
        <v>PPCAP-2IN-V6</v>
      </c>
      <c r="B384" s="10" t="str">
        <f>T3_SKU!B384</f>
        <v>PPCAP-2IN</v>
      </c>
      <c r="C384" s="10" t="str">
        <f t="array" ref="C384">IFERROR(INDEX(T2_GroupSKU!$B:$B,MATCH(B384,T2_GroupSKU!$A:$A,0)),"")</f>
        <v>PP Cap - 2.0"</v>
      </c>
      <c r="D384" s="10" t="str">
        <f t="array" ref="D384">IFERROR(INDEX(T1_ProductType!$B:$B,MATCH(INDEX(T2_GroupSKU!$C:$C,MATCH(B384,T2_GroupSKU!$A:$A,0)),T1_ProductType!$A:$A,0)),"")</f>
        <v>PP Cap</v>
      </c>
      <c r="E384" s="10" t="str">
        <f t="array" ref="E384">IFERROR(INDEX(T1_ProductType!$C:$C,MATCH(INDEX(T2_GroupSKU!$C:$C,MATCH(B384,T2_GroupSKU!$A:$A,0)),T1_ProductType!$A:$A,0)),"")</f>
        <v>Accessory</v>
      </c>
      <c r="F384" s="10" t="str">
        <f t="array" ref="F384">IFERROR(INDEX(T1_ProductType!$D:$D,MATCH(INDEX(T2_GroupSKU!$C:$C,MATCH(B384,T2_GroupSKU!$A:$A,0)),T1_ProductType!$A:$A,0)),"")</f>
        <v>Plastic Barrels</v>
      </c>
      <c r="G384" s="10" t="str">
        <f t="array" ref="G384">IFERROR(IF(INDEX(T1_ProductType!$E:$E,MATCH(INDEX(T2_GroupSKU!$C:$C,MATCH(B384,T2_GroupSKU!$A:$A,0)),T1_ProductType!$A:$A,0))="","-",INDEX(T1_ProductType!$E:$E,MATCH(INDEX(T2_GroupSKU!$C:$C,MATCH(B384,T2_GroupSKU!$A:$A,0)),T1_ProductType!$A:$A,0))),"-")</f>
        <v>-</v>
      </c>
      <c r="H384" s="10">
        <f t="array" ref="H384">IFERROR(IF(INDEX(T2_GroupSKU!$D:$D,MATCH(B384,T2_GroupSKU!$A:$A,0))="","-",INDEX(T2_GroupSKU!$D:$D,MATCH(B384,T2_GroupSKU!$A:$A,0))),"-")</f>
        <v>2</v>
      </c>
      <c r="I384" s="10" t="str">
        <f t="array" ref="I384">IFERROR(IF(INDEX(T2_GroupSKU!$E:$E,MATCH(B384,T2_GroupSKU!$A:$A,0))="","-",INDEX(T2_GroupSKU!$E:$E,MATCH(B384,T2_GroupSKU!$A:$A,0))),"-")</f>
        <v>INCH</v>
      </c>
      <c r="J384" s="10" t="str">
        <f>T3_SKU!C384</f>
        <v>2" PP CAP GALAXY LOGO</v>
      </c>
      <c r="K384" s="10" t="str">
        <f>T3_SKU!D384</f>
        <v>2" PP CAP GALAXY LOGO</v>
      </c>
      <c r="L384" s="10" t="str">
        <f>T3_SKU!E384</f>
        <v>NOS</v>
      </c>
      <c r="M384" s="10" t="str">
        <f>T3_SKU!F384</f>
        <v>39235010</v>
      </c>
    </row>
    <row r="385" ht="15.0" customHeight="1">
      <c r="A385" s="10" t="str">
        <f>T3_SKU!A385</f>
        <v>PPCAP-6IN-BLK</v>
      </c>
      <c r="B385" s="10" t="str">
        <f>T3_SKU!B385</f>
        <v>PPCAP-6IN</v>
      </c>
      <c r="C385" s="10" t="str">
        <f t="array" ref="C385">IFERROR(INDEX(T2_GroupSKU!$B:$B,MATCH(B385,T2_GroupSKU!$A:$A,0)),"")</f>
        <v>PP Cap - 6.0"</v>
      </c>
      <c r="D385" s="10" t="str">
        <f t="array" ref="D385">IFERROR(INDEX(T1_ProductType!$B:$B,MATCH(INDEX(T2_GroupSKU!$C:$C,MATCH(B385,T2_GroupSKU!$A:$A,0)),T1_ProductType!$A:$A,0)),"")</f>
        <v>PP Cap</v>
      </c>
      <c r="E385" s="10" t="str">
        <f t="array" ref="E385">IFERROR(INDEX(T1_ProductType!$C:$C,MATCH(INDEX(T2_GroupSKU!$C:$C,MATCH(B385,T2_GroupSKU!$A:$A,0)),T1_ProductType!$A:$A,0)),"")</f>
        <v>Accessory</v>
      </c>
      <c r="F385" s="10" t="str">
        <f t="array" ref="F385">IFERROR(INDEX(T1_ProductType!$D:$D,MATCH(INDEX(T2_GroupSKU!$C:$C,MATCH(B385,T2_GroupSKU!$A:$A,0)),T1_ProductType!$A:$A,0)),"")</f>
        <v>Plastic Barrels</v>
      </c>
      <c r="G385" s="10" t="str">
        <f t="array" ref="G385">IFERROR(IF(INDEX(T1_ProductType!$E:$E,MATCH(INDEX(T2_GroupSKU!$C:$C,MATCH(B385,T2_GroupSKU!$A:$A,0)),T1_ProductType!$A:$A,0))="","-",INDEX(T1_ProductType!$E:$E,MATCH(INDEX(T2_GroupSKU!$C:$C,MATCH(B385,T2_GroupSKU!$A:$A,0)),T1_ProductType!$A:$A,0))),"-")</f>
        <v>-</v>
      </c>
      <c r="H385" s="10">
        <f t="array" ref="H385">IFERROR(IF(INDEX(T2_GroupSKU!$D:$D,MATCH(B385,T2_GroupSKU!$A:$A,0))="","-",INDEX(T2_GroupSKU!$D:$D,MATCH(B385,T2_GroupSKU!$A:$A,0))),"-")</f>
        <v>6</v>
      </c>
      <c r="I385" s="10" t="str">
        <f t="array" ref="I385">IFERROR(IF(INDEX(T2_GroupSKU!$E:$E,MATCH(B385,T2_GroupSKU!$A:$A,0))="","-",INDEX(T2_GroupSKU!$E:$E,MATCH(B385,T2_GroupSKU!$A:$A,0))),"-")</f>
        <v>INCH</v>
      </c>
      <c r="J385" s="10" t="str">
        <f>T3_SKU!C385</f>
        <v>Black</v>
      </c>
      <c r="K385" s="10" t="str">
        <f>T3_SKU!D385</f>
        <v>6" PP CAP BLACK</v>
      </c>
      <c r="L385" s="10" t="str">
        <f>T3_SKU!E385</f>
        <v>nos</v>
      </c>
      <c r="M385" s="10" t="str">
        <f>T3_SKU!F385</f>
        <v>39235010</v>
      </c>
    </row>
    <row r="386" ht="15.0" customHeight="1">
      <c r="A386" s="10" t="str">
        <f>T3_SKU!A386</f>
        <v>PPCAP-6IN-BLU</v>
      </c>
      <c r="B386" s="10" t="str">
        <f>T3_SKU!B386</f>
        <v>PPCAP-6IN</v>
      </c>
      <c r="C386" s="10" t="str">
        <f t="array" ref="C386">IFERROR(INDEX(T2_GroupSKU!$B:$B,MATCH(B386,T2_GroupSKU!$A:$A,0)),"")</f>
        <v>PP Cap - 6.0"</v>
      </c>
      <c r="D386" s="10" t="str">
        <f t="array" ref="D386">IFERROR(INDEX(T1_ProductType!$B:$B,MATCH(INDEX(T2_GroupSKU!$C:$C,MATCH(B386,T2_GroupSKU!$A:$A,0)),T1_ProductType!$A:$A,0)),"")</f>
        <v>PP Cap</v>
      </c>
      <c r="E386" s="10" t="str">
        <f t="array" ref="E386">IFERROR(INDEX(T1_ProductType!$C:$C,MATCH(INDEX(T2_GroupSKU!$C:$C,MATCH(B386,T2_GroupSKU!$A:$A,0)),T1_ProductType!$A:$A,0)),"")</f>
        <v>Accessory</v>
      </c>
      <c r="F386" s="10" t="str">
        <f t="array" ref="F386">IFERROR(INDEX(T1_ProductType!$D:$D,MATCH(INDEX(T2_GroupSKU!$C:$C,MATCH(B386,T2_GroupSKU!$A:$A,0)),T1_ProductType!$A:$A,0)),"")</f>
        <v>Plastic Barrels</v>
      </c>
      <c r="G386" s="10" t="str">
        <f t="array" ref="G386">IFERROR(IF(INDEX(T1_ProductType!$E:$E,MATCH(INDEX(T2_GroupSKU!$C:$C,MATCH(B386,T2_GroupSKU!$A:$A,0)),T1_ProductType!$A:$A,0))="","-",INDEX(T1_ProductType!$E:$E,MATCH(INDEX(T2_GroupSKU!$C:$C,MATCH(B386,T2_GroupSKU!$A:$A,0)),T1_ProductType!$A:$A,0))),"-")</f>
        <v>-</v>
      </c>
      <c r="H386" s="10">
        <f t="array" ref="H386">IFERROR(IF(INDEX(T2_GroupSKU!$D:$D,MATCH(B386,T2_GroupSKU!$A:$A,0))="","-",INDEX(T2_GroupSKU!$D:$D,MATCH(B386,T2_GroupSKU!$A:$A,0))),"-")</f>
        <v>6</v>
      </c>
      <c r="I386" s="10" t="str">
        <f t="array" ref="I386">IFERROR(IF(INDEX(T2_GroupSKU!$E:$E,MATCH(B386,T2_GroupSKU!$A:$A,0))="","-",INDEX(T2_GroupSKU!$E:$E,MATCH(B386,T2_GroupSKU!$A:$A,0))),"-")</f>
        <v>INCH</v>
      </c>
      <c r="J386" s="10" t="str">
        <f>T3_SKU!C386</f>
        <v>Blue</v>
      </c>
      <c r="K386" s="10" t="str">
        <f>T3_SKU!D386</f>
        <v>6" PP CAP BLUE</v>
      </c>
      <c r="L386" s="10" t="str">
        <f>T3_SKU!E386</f>
        <v>NOS</v>
      </c>
      <c r="M386" s="10" t="str">
        <f>T3_SKU!F386</f>
        <v>39235010</v>
      </c>
    </row>
    <row r="387" ht="15.0" customHeight="1">
      <c r="A387" s="10" t="str">
        <f>T3_SKU!A387</f>
        <v>PPCAP-6IN-RED</v>
      </c>
      <c r="B387" s="10" t="str">
        <f>T3_SKU!B387</f>
        <v>PPCAP-6IN</v>
      </c>
      <c r="C387" s="10" t="str">
        <f t="array" ref="C387">IFERROR(INDEX(T2_GroupSKU!$B:$B,MATCH(B387,T2_GroupSKU!$A:$A,0)),"")</f>
        <v>PP Cap - 6.0"</v>
      </c>
      <c r="D387" s="10" t="str">
        <f t="array" ref="D387">IFERROR(INDEX(T1_ProductType!$B:$B,MATCH(INDEX(T2_GroupSKU!$C:$C,MATCH(B387,T2_GroupSKU!$A:$A,0)),T1_ProductType!$A:$A,0)),"")</f>
        <v>PP Cap</v>
      </c>
      <c r="E387" s="10" t="str">
        <f t="array" ref="E387">IFERROR(INDEX(T1_ProductType!$C:$C,MATCH(INDEX(T2_GroupSKU!$C:$C,MATCH(B387,T2_GroupSKU!$A:$A,0)),T1_ProductType!$A:$A,0)),"")</f>
        <v>Accessory</v>
      </c>
      <c r="F387" s="10" t="str">
        <f t="array" ref="F387">IFERROR(INDEX(T1_ProductType!$D:$D,MATCH(INDEX(T2_GroupSKU!$C:$C,MATCH(B387,T2_GroupSKU!$A:$A,0)),T1_ProductType!$A:$A,0)),"")</f>
        <v>Plastic Barrels</v>
      </c>
      <c r="G387" s="10" t="str">
        <f t="array" ref="G387">IFERROR(IF(INDEX(T1_ProductType!$E:$E,MATCH(INDEX(T2_GroupSKU!$C:$C,MATCH(B387,T2_GroupSKU!$A:$A,0)),T1_ProductType!$A:$A,0))="","-",INDEX(T1_ProductType!$E:$E,MATCH(INDEX(T2_GroupSKU!$C:$C,MATCH(B387,T2_GroupSKU!$A:$A,0)),T1_ProductType!$A:$A,0))),"-")</f>
        <v>-</v>
      </c>
      <c r="H387" s="10">
        <f t="array" ref="H387">IFERROR(IF(INDEX(T2_GroupSKU!$D:$D,MATCH(B387,T2_GroupSKU!$A:$A,0))="","-",INDEX(T2_GroupSKU!$D:$D,MATCH(B387,T2_GroupSKU!$A:$A,0))),"-")</f>
        <v>6</v>
      </c>
      <c r="I387" s="10" t="str">
        <f t="array" ref="I387">IFERROR(IF(INDEX(T2_GroupSKU!$E:$E,MATCH(B387,T2_GroupSKU!$A:$A,0))="","-",INDEX(T2_GroupSKU!$E:$E,MATCH(B387,T2_GroupSKU!$A:$A,0))),"-")</f>
        <v>INCH</v>
      </c>
      <c r="J387" s="10" t="str">
        <f>T3_SKU!C387</f>
        <v>Red</v>
      </c>
      <c r="K387" s="10" t="str">
        <f>T3_SKU!D387</f>
        <v>6" PP CAP RED</v>
      </c>
      <c r="L387" s="10" t="str">
        <f>T3_SKU!E387</f>
        <v>NOS</v>
      </c>
      <c r="M387" s="10" t="str">
        <f>T3_SKU!F387</f>
        <v>39235010</v>
      </c>
    </row>
    <row r="388" ht="15.0" customHeight="1">
      <c r="A388" s="10" t="str">
        <f>T3_SKU!A388</f>
        <v>RING-14IN-WHT</v>
      </c>
      <c r="B388" s="10" t="str">
        <f>T3_SKU!B388</f>
        <v>RING-14IN</v>
      </c>
      <c r="C388" s="10" t="str">
        <f t="array" ref="C388">IFERROR(INDEX(T2_GroupSKU!$B:$B,MATCH(B388,T2_GroupSKU!$A:$A,0)),"")</f>
        <v>Ring - Other - 14.0"</v>
      </c>
      <c r="D388" s="10" t="str">
        <f t="array" ref="D388">IFERROR(INDEX(T1_ProductType!$B:$B,MATCH(INDEX(T2_GroupSKU!$C:$C,MATCH(B388,T2_GroupSKU!$A:$A,0)),T1_ProductType!$A:$A,0)),"")</f>
        <v>Ring - Other</v>
      </c>
      <c r="E388" s="10" t="str">
        <f t="array" ref="E388">IFERROR(INDEX(T1_ProductType!$C:$C,MATCH(INDEX(T2_GroupSKU!$C:$C,MATCH(B388,T2_GroupSKU!$A:$A,0)),T1_ProductType!$A:$A,0)),"")</f>
        <v>Accessory</v>
      </c>
      <c r="F388" s="10" t="str">
        <f t="array" ref="F388">IFERROR(INDEX(T1_ProductType!$D:$D,MATCH(INDEX(T2_GroupSKU!$C:$C,MATCH(B388,T2_GroupSKU!$A:$A,0)),T1_ProductType!$A:$A,0)),"")</f>
        <v>Plastic Barrels</v>
      </c>
      <c r="G388" s="10" t="str">
        <f t="array" ref="G388">IFERROR(IF(INDEX(T1_ProductType!$E:$E,MATCH(INDEX(T2_GroupSKU!$C:$C,MATCH(B388,T2_GroupSKU!$A:$A,0)),T1_ProductType!$A:$A,0))="","-",INDEX(T1_ProductType!$E:$E,MATCH(INDEX(T2_GroupSKU!$C:$C,MATCH(B388,T2_GroupSKU!$A:$A,0)),T1_ProductType!$A:$A,0))),"-")</f>
        <v>-</v>
      </c>
      <c r="H388" s="10">
        <f t="array" ref="H388">IFERROR(IF(INDEX(T2_GroupSKU!$D:$D,MATCH(B388,T2_GroupSKU!$A:$A,0))="","-",INDEX(T2_GroupSKU!$D:$D,MATCH(B388,T2_GroupSKU!$A:$A,0))),"-")</f>
        <v>14</v>
      </c>
      <c r="I388" s="10" t="str">
        <f t="array" ref="I388">IFERROR(IF(INDEX(T2_GroupSKU!$E:$E,MATCH(B388,T2_GroupSKU!$A:$A,0))="","-",INDEX(T2_GroupSKU!$E:$E,MATCH(B388,T2_GroupSKU!$A:$A,0))),"-")</f>
        <v>INCH</v>
      </c>
      <c r="J388" s="10" t="str">
        <f>T3_SKU!C388</f>
        <v>White / Regular</v>
      </c>
      <c r="K388" s="10" t="str">
        <f>T3_SKU!D388</f>
        <v>14" RUBBER RING (REGULAR)-WHITE</v>
      </c>
      <c r="L388" s="10" t="str">
        <f>T3_SKU!E388</f>
        <v>NOS</v>
      </c>
      <c r="M388" s="10" t="str">
        <f>T3_SKU!F388</f>
        <v>40169340</v>
      </c>
    </row>
    <row r="389" ht="15.0" customHeight="1">
      <c r="A389" s="10" t="str">
        <f>T3_SKU!A389</f>
        <v>RING-18IN-V351</v>
      </c>
      <c r="B389" s="10" t="str">
        <f>T3_SKU!B389</f>
        <v>RING-18IN</v>
      </c>
      <c r="C389" s="10" t="str">
        <f t="array" ref="C389">IFERROR(INDEX(T2_GroupSKU!$B:$B,MATCH(B389,T2_GroupSKU!$A:$A,0)),"")</f>
        <v>Ring - Other - 18.0"</v>
      </c>
      <c r="D389" s="10" t="str">
        <f t="array" ref="D389">IFERROR(INDEX(T1_ProductType!$B:$B,MATCH(INDEX(T2_GroupSKU!$C:$C,MATCH(B389,T2_GroupSKU!$A:$A,0)),T1_ProductType!$A:$A,0)),"")</f>
        <v>Ring - Other</v>
      </c>
      <c r="E389" s="10" t="str">
        <f t="array" ref="E389">IFERROR(INDEX(T1_ProductType!$C:$C,MATCH(INDEX(T2_GroupSKU!$C:$C,MATCH(B389,T2_GroupSKU!$A:$A,0)),T1_ProductType!$A:$A,0)),"")</f>
        <v>Accessory</v>
      </c>
      <c r="F389" s="10" t="str">
        <f t="array" ref="F389">IFERROR(INDEX(T1_ProductType!$D:$D,MATCH(INDEX(T2_GroupSKU!$C:$C,MATCH(B389,T2_GroupSKU!$A:$A,0)),T1_ProductType!$A:$A,0)),"")</f>
        <v>Plastic Barrels</v>
      </c>
      <c r="G389" s="10" t="str">
        <f t="array" ref="G389">IFERROR(IF(INDEX(T1_ProductType!$E:$E,MATCH(INDEX(T2_GroupSKU!$C:$C,MATCH(B389,T2_GroupSKU!$A:$A,0)),T1_ProductType!$A:$A,0))="","-",INDEX(T1_ProductType!$E:$E,MATCH(INDEX(T2_GroupSKU!$C:$C,MATCH(B389,T2_GroupSKU!$A:$A,0)),T1_ProductType!$A:$A,0))),"-")</f>
        <v>-</v>
      </c>
      <c r="H389" s="10">
        <f t="array" ref="H389">IFERROR(IF(INDEX(T2_GroupSKU!$D:$D,MATCH(B389,T2_GroupSKU!$A:$A,0))="","-",INDEX(T2_GroupSKU!$D:$D,MATCH(B389,T2_GroupSKU!$A:$A,0))),"-")</f>
        <v>18</v>
      </c>
      <c r="I389" s="10" t="str">
        <f t="array" ref="I389">IFERROR(IF(INDEX(T2_GroupSKU!$E:$E,MATCH(B389,T2_GroupSKU!$A:$A,0))="","-",INDEX(T2_GroupSKU!$E:$E,MATCH(B389,T2_GroupSKU!$A:$A,0))),"-")</f>
        <v>INCH</v>
      </c>
      <c r="J389" s="10" t="str">
        <f>T3_SKU!C389</f>
        <v>18" RUBBER RING</v>
      </c>
      <c r="K389" s="10" t="str">
        <f>T3_SKU!D389</f>
        <v>18" RUBBER RING</v>
      </c>
      <c r="L389" s="10" t="str">
        <f>T3_SKU!E389</f>
        <v>NOS</v>
      </c>
      <c r="M389" s="10" t="str">
        <f>T3_SKU!F389</f>
        <v>               </v>
      </c>
    </row>
    <row r="390" ht="15.0" customHeight="1">
      <c r="A390" s="10" t="str">
        <f>T3_SKU!A390</f>
        <v>RING-2IN-BLK</v>
      </c>
      <c r="B390" s="10" t="str">
        <f>T3_SKU!B390</f>
        <v>RING-2IN</v>
      </c>
      <c r="C390" s="10" t="str">
        <f t="array" ref="C390">IFERROR(INDEX(T2_GroupSKU!$B:$B,MATCH(B390,T2_GroupSKU!$A:$A,0)),"")</f>
        <v>Ring - Other - 2.0"</v>
      </c>
      <c r="D390" s="10" t="str">
        <f t="array" ref="D390">IFERROR(INDEX(T1_ProductType!$B:$B,MATCH(INDEX(T2_GroupSKU!$C:$C,MATCH(B390,T2_GroupSKU!$A:$A,0)),T1_ProductType!$A:$A,0)),"")</f>
        <v>Ring - Other</v>
      </c>
      <c r="E390" s="10" t="str">
        <f t="array" ref="E390">IFERROR(INDEX(T1_ProductType!$C:$C,MATCH(INDEX(T2_GroupSKU!$C:$C,MATCH(B390,T2_GroupSKU!$A:$A,0)),T1_ProductType!$A:$A,0)),"")</f>
        <v>Accessory</v>
      </c>
      <c r="F390" s="10" t="str">
        <f t="array" ref="F390">IFERROR(INDEX(T1_ProductType!$D:$D,MATCH(INDEX(T2_GroupSKU!$C:$C,MATCH(B390,T2_GroupSKU!$A:$A,0)),T1_ProductType!$A:$A,0)),"")</f>
        <v>Plastic Barrels</v>
      </c>
      <c r="G390" s="10" t="str">
        <f t="array" ref="G390">IFERROR(IF(INDEX(T1_ProductType!$E:$E,MATCH(INDEX(T2_GroupSKU!$C:$C,MATCH(B390,T2_GroupSKU!$A:$A,0)),T1_ProductType!$A:$A,0))="","-",INDEX(T1_ProductType!$E:$E,MATCH(INDEX(T2_GroupSKU!$C:$C,MATCH(B390,T2_GroupSKU!$A:$A,0)),T1_ProductType!$A:$A,0))),"-")</f>
        <v>-</v>
      </c>
      <c r="H390" s="10">
        <f t="array" ref="H390">IFERROR(IF(INDEX(T2_GroupSKU!$D:$D,MATCH(B390,T2_GroupSKU!$A:$A,0))="","-",INDEX(T2_GroupSKU!$D:$D,MATCH(B390,T2_GroupSKU!$A:$A,0))),"-")</f>
        <v>2</v>
      </c>
      <c r="I390" s="10" t="str">
        <f t="array" ref="I390">IFERROR(IF(INDEX(T2_GroupSKU!$E:$E,MATCH(B390,T2_GroupSKU!$A:$A,0))="","-",INDEX(T2_GroupSKU!$E:$E,MATCH(B390,T2_GroupSKU!$A:$A,0))),"-")</f>
        <v>INCH</v>
      </c>
      <c r="J390" s="10" t="str">
        <f>T3_SKU!C390</f>
        <v>Black</v>
      </c>
      <c r="K390" s="10" t="str">
        <f>T3_SKU!D390</f>
        <v>2" RUBBER RING BLACK</v>
      </c>
      <c r="L390" s="10" t="str">
        <f>T3_SKU!E390</f>
        <v>NOS</v>
      </c>
      <c r="M390" s="10" t="str">
        <f>T3_SKU!F390</f>
        <v>39235010</v>
      </c>
    </row>
    <row r="391" ht="15.0" customHeight="1">
      <c r="A391" s="10" t="str">
        <f>T3_SKU!A391</f>
        <v>RING-2IN-WHT</v>
      </c>
      <c r="B391" s="10" t="str">
        <f>T3_SKU!B391</f>
        <v>RING-2IN</v>
      </c>
      <c r="C391" s="10" t="str">
        <f t="array" ref="C391">IFERROR(INDEX(T2_GroupSKU!$B:$B,MATCH(B391,T2_GroupSKU!$A:$A,0)),"")</f>
        <v>Ring - Other - 2.0"</v>
      </c>
      <c r="D391" s="10" t="str">
        <f t="array" ref="D391">IFERROR(INDEX(T1_ProductType!$B:$B,MATCH(INDEX(T2_GroupSKU!$C:$C,MATCH(B391,T2_GroupSKU!$A:$A,0)),T1_ProductType!$A:$A,0)),"")</f>
        <v>Ring - Other</v>
      </c>
      <c r="E391" s="10" t="str">
        <f t="array" ref="E391">IFERROR(INDEX(T1_ProductType!$C:$C,MATCH(INDEX(T2_GroupSKU!$C:$C,MATCH(B391,T2_GroupSKU!$A:$A,0)),T1_ProductType!$A:$A,0)),"")</f>
        <v>Accessory</v>
      </c>
      <c r="F391" s="10" t="str">
        <f t="array" ref="F391">IFERROR(INDEX(T1_ProductType!$D:$D,MATCH(INDEX(T2_GroupSKU!$C:$C,MATCH(B391,T2_GroupSKU!$A:$A,0)),T1_ProductType!$A:$A,0)),"")</f>
        <v>Plastic Barrels</v>
      </c>
      <c r="G391" s="10" t="str">
        <f t="array" ref="G391">IFERROR(IF(INDEX(T1_ProductType!$E:$E,MATCH(INDEX(T2_GroupSKU!$C:$C,MATCH(B391,T2_GroupSKU!$A:$A,0)),T1_ProductType!$A:$A,0))="","-",INDEX(T1_ProductType!$E:$E,MATCH(INDEX(T2_GroupSKU!$C:$C,MATCH(B391,T2_GroupSKU!$A:$A,0)),T1_ProductType!$A:$A,0))),"-")</f>
        <v>-</v>
      </c>
      <c r="H391" s="10">
        <f t="array" ref="H391">IFERROR(IF(INDEX(T2_GroupSKU!$D:$D,MATCH(B391,T2_GroupSKU!$A:$A,0))="","-",INDEX(T2_GroupSKU!$D:$D,MATCH(B391,T2_GroupSKU!$A:$A,0))),"-")</f>
        <v>2</v>
      </c>
      <c r="I391" s="10" t="str">
        <f t="array" ref="I391">IFERROR(IF(INDEX(T2_GroupSKU!$E:$E,MATCH(B391,T2_GroupSKU!$A:$A,0))="","-",INDEX(T2_GroupSKU!$E:$E,MATCH(B391,T2_GroupSKU!$A:$A,0))),"-")</f>
        <v>INCH</v>
      </c>
      <c r="J391" s="10" t="str">
        <f>T3_SKU!C391</f>
        <v>White</v>
      </c>
      <c r="K391" s="10" t="str">
        <f>T3_SKU!D391</f>
        <v>2'' RUBBER RING WHITE</v>
      </c>
      <c r="L391" s="10" t="str">
        <f>T3_SKU!E391</f>
        <v>NOS</v>
      </c>
      <c r="M391" s="10" t="str">
        <f>T3_SKU!F391</f>
        <v>               </v>
      </c>
    </row>
    <row r="392" ht="15.0" customHeight="1">
      <c r="A392" s="10" t="str">
        <f>T3_SKU!A392</f>
        <v>RING-6IN-BLK</v>
      </c>
      <c r="B392" s="10" t="str">
        <f>T3_SKU!B392</f>
        <v>RING-6IN</v>
      </c>
      <c r="C392" s="10" t="str">
        <f t="array" ref="C392">IFERROR(INDEX(T2_GroupSKU!$B:$B,MATCH(B392,T2_GroupSKU!$A:$A,0)),"")</f>
        <v>Ring - Other - 6.0"</v>
      </c>
      <c r="D392" s="10" t="str">
        <f t="array" ref="D392">IFERROR(INDEX(T1_ProductType!$B:$B,MATCH(INDEX(T2_GroupSKU!$C:$C,MATCH(B392,T2_GroupSKU!$A:$A,0)),T1_ProductType!$A:$A,0)),"")</f>
        <v>Ring - Other</v>
      </c>
      <c r="E392" s="10" t="str">
        <f t="array" ref="E392">IFERROR(INDEX(T1_ProductType!$C:$C,MATCH(INDEX(T2_GroupSKU!$C:$C,MATCH(B392,T2_GroupSKU!$A:$A,0)),T1_ProductType!$A:$A,0)),"")</f>
        <v>Accessory</v>
      </c>
      <c r="F392" s="10" t="str">
        <f t="array" ref="F392">IFERROR(INDEX(T1_ProductType!$D:$D,MATCH(INDEX(T2_GroupSKU!$C:$C,MATCH(B392,T2_GroupSKU!$A:$A,0)),T1_ProductType!$A:$A,0)),"")</f>
        <v>Plastic Barrels</v>
      </c>
      <c r="G392" s="10" t="str">
        <f t="array" ref="G392">IFERROR(IF(INDEX(T1_ProductType!$E:$E,MATCH(INDEX(T2_GroupSKU!$C:$C,MATCH(B392,T2_GroupSKU!$A:$A,0)),T1_ProductType!$A:$A,0))="","-",INDEX(T1_ProductType!$E:$E,MATCH(INDEX(T2_GroupSKU!$C:$C,MATCH(B392,T2_GroupSKU!$A:$A,0)),T1_ProductType!$A:$A,0))),"-")</f>
        <v>-</v>
      </c>
      <c r="H392" s="10">
        <f t="array" ref="H392">IFERROR(IF(INDEX(T2_GroupSKU!$D:$D,MATCH(B392,T2_GroupSKU!$A:$A,0))="","-",INDEX(T2_GroupSKU!$D:$D,MATCH(B392,T2_GroupSKU!$A:$A,0))),"-")</f>
        <v>6</v>
      </c>
      <c r="I392" s="10" t="str">
        <f t="array" ref="I392">IFERROR(IF(INDEX(T2_GroupSKU!$E:$E,MATCH(B392,T2_GroupSKU!$A:$A,0))="","-",INDEX(T2_GroupSKU!$E:$E,MATCH(B392,T2_GroupSKU!$A:$A,0))),"-")</f>
        <v>INCH</v>
      </c>
      <c r="J392" s="10" t="str">
        <f>T3_SKU!C392</f>
        <v>Black</v>
      </c>
      <c r="K392" s="10" t="str">
        <f>T3_SKU!D392</f>
        <v>6" RUBBER  RING BLACK</v>
      </c>
      <c r="L392" s="10" t="str">
        <f>T3_SKU!E392</f>
        <v>NOS</v>
      </c>
      <c r="M392" s="10" t="str">
        <f>T3_SKU!F392</f>
        <v>39235010</v>
      </c>
    </row>
    <row r="393" ht="15.0" customHeight="1">
      <c r="A393" s="10" t="str">
        <f>T3_SKU!A393</f>
        <v>RING-8IN-BLK</v>
      </c>
      <c r="B393" s="10" t="str">
        <f>T3_SKU!B393</f>
        <v>RING-8IN</v>
      </c>
      <c r="C393" s="10" t="str">
        <f t="array" ref="C393">IFERROR(INDEX(T2_GroupSKU!$B:$B,MATCH(B393,T2_GroupSKU!$A:$A,0)),"")</f>
        <v>Ring - Other - 8.0"</v>
      </c>
      <c r="D393" s="10" t="str">
        <f t="array" ref="D393">IFERROR(INDEX(T1_ProductType!$B:$B,MATCH(INDEX(T2_GroupSKU!$C:$C,MATCH(B393,T2_GroupSKU!$A:$A,0)),T1_ProductType!$A:$A,0)),"")</f>
        <v>Ring - Other</v>
      </c>
      <c r="E393" s="10" t="str">
        <f t="array" ref="E393">IFERROR(INDEX(T1_ProductType!$C:$C,MATCH(INDEX(T2_GroupSKU!$C:$C,MATCH(B393,T2_GroupSKU!$A:$A,0)),T1_ProductType!$A:$A,0)),"")</f>
        <v>Accessory</v>
      </c>
      <c r="F393" s="10" t="str">
        <f t="array" ref="F393">IFERROR(INDEX(T1_ProductType!$D:$D,MATCH(INDEX(T2_GroupSKU!$C:$C,MATCH(B393,T2_GroupSKU!$A:$A,0)),T1_ProductType!$A:$A,0)),"")</f>
        <v>Plastic Barrels</v>
      </c>
      <c r="G393" s="10" t="str">
        <f t="array" ref="G393">IFERROR(IF(INDEX(T1_ProductType!$E:$E,MATCH(INDEX(T2_GroupSKU!$C:$C,MATCH(B393,T2_GroupSKU!$A:$A,0)),T1_ProductType!$A:$A,0))="","-",INDEX(T1_ProductType!$E:$E,MATCH(INDEX(T2_GroupSKU!$C:$C,MATCH(B393,T2_GroupSKU!$A:$A,0)),T1_ProductType!$A:$A,0))),"-")</f>
        <v>-</v>
      </c>
      <c r="H393" s="10">
        <f t="array" ref="H393">IFERROR(IF(INDEX(T2_GroupSKU!$D:$D,MATCH(B393,T2_GroupSKU!$A:$A,0))="","-",INDEX(T2_GroupSKU!$D:$D,MATCH(B393,T2_GroupSKU!$A:$A,0))),"-")</f>
        <v>8</v>
      </c>
      <c r="I393" s="10" t="str">
        <f t="array" ref="I393">IFERROR(IF(INDEX(T2_GroupSKU!$E:$E,MATCH(B393,T2_GroupSKU!$A:$A,0))="","-",INDEX(T2_GroupSKU!$E:$E,MATCH(B393,T2_GroupSKU!$A:$A,0))),"-")</f>
        <v>INCH</v>
      </c>
      <c r="J393" s="10" t="str">
        <f>T3_SKU!C393</f>
        <v>Black</v>
      </c>
      <c r="K393" s="10" t="str">
        <f>T3_SKU!D393</f>
        <v>8" RUBBER RING BLACK</v>
      </c>
      <c r="L393" s="10" t="str">
        <f>T3_SKU!E393</f>
        <v>NOS</v>
      </c>
      <c r="M393" s="10" t="str">
        <f>T3_SKU!F393</f>
        <v>39235010</v>
      </c>
    </row>
    <row r="394" ht="15.0" customHeight="1">
      <c r="A394" s="10" t="str">
        <f>T3_SKU!A394</f>
        <v>RING-V357</v>
      </c>
      <c r="B394" s="10" t="str">
        <f>T3_SKU!B394</f>
        <v>RING</v>
      </c>
      <c r="C394" s="10" t="str">
        <f t="array" ref="C394">IFERROR(INDEX(T2_GroupSKU!$B:$B,MATCH(B394,T2_GroupSKU!$A:$A,0)),"")</f>
        <v>Ring - Other</v>
      </c>
      <c r="D394" s="10" t="str">
        <f t="array" ref="D394">IFERROR(INDEX(T1_ProductType!$B:$B,MATCH(INDEX(T2_GroupSKU!$C:$C,MATCH(B394,T2_GroupSKU!$A:$A,0)),T1_ProductType!$A:$A,0)),"")</f>
        <v>Ring - Other</v>
      </c>
      <c r="E394" s="10" t="str">
        <f t="array" ref="E394">IFERROR(INDEX(T1_ProductType!$C:$C,MATCH(INDEX(T2_GroupSKU!$C:$C,MATCH(B394,T2_GroupSKU!$A:$A,0)),T1_ProductType!$A:$A,0)),"")</f>
        <v>Accessory</v>
      </c>
      <c r="F394" s="10" t="str">
        <f t="array" ref="F394">IFERROR(INDEX(T1_ProductType!$D:$D,MATCH(INDEX(T2_GroupSKU!$C:$C,MATCH(B394,T2_GroupSKU!$A:$A,0)),T1_ProductType!$A:$A,0)),"")</f>
        <v>Plastic Barrels</v>
      </c>
      <c r="G394" s="10" t="str">
        <f t="array" ref="G394">IFERROR(IF(INDEX(T1_ProductType!$E:$E,MATCH(INDEX(T2_GroupSKU!$C:$C,MATCH(B394,T2_GroupSKU!$A:$A,0)),T1_ProductType!$A:$A,0))="","-",INDEX(T1_ProductType!$E:$E,MATCH(INDEX(T2_GroupSKU!$C:$C,MATCH(B394,T2_GroupSKU!$A:$A,0)),T1_ProductType!$A:$A,0))),"-")</f>
        <v>-</v>
      </c>
      <c r="H394" s="10" t="str">
        <f t="array" ref="H394">IFERROR(IF(INDEX(T2_GroupSKU!$D:$D,MATCH(B394,T2_GroupSKU!$A:$A,0))="","-",INDEX(T2_GroupSKU!$D:$D,MATCH(B394,T2_GroupSKU!$A:$A,0))),"-")</f>
        <v>-</v>
      </c>
      <c r="I394" s="10" t="str">
        <f t="array" ref="I394">IFERROR(IF(INDEX(T2_GroupSKU!$E:$E,MATCH(B394,T2_GroupSKU!$A:$A,0))="","-",INDEX(T2_GroupSKU!$E:$E,MATCH(B394,T2_GroupSKU!$A:$A,0))),"-")</f>
        <v>-</v>
      </c>
      <c r="J394" s="10" t="str">
        <f>T3_SKU!C394</f>
        <v>70mm / Ibc</v>
      </c>
      <c r="K394" s="10" t="str">
        <f>T3_SKU!D394</f>
        <v>70 MM RING (IBC)</v>
      </c>
      <c r="L394" s="10" t="str">
        <f>T3_SKU!E394</f>
        <v>NOS</v>
      </c>
      <c r="M394" s="10" t="str">
        <f>T3_SKU!F394</f>
        <v>39235010</v>
      </c>
    </row>
    <row r="395" ht="15.0" customHeight="1">
      <c r="A395" s="10" t="str">
        <f>T3_SKU!A395</f>
        <v>RING-V361</v>
      </c>
      <c r="B395" s="10" t="str">
        <f>T3_SKU!B395</f>
        <v>RING</v>
      </c>
      <c r="C395" s="10" t="str">
        <f t="array" ref="C395">IFERROR(INDEX(T2_GroupSKU!$B:$B,MATCH(B395,T2_GroupSKU!$A:$A,0)),"")</f>
        <v>Ring - Other</v>
      </c>
      <c r="D395" s="10" t="str">
        <f t="array" ref="D395">IFERROR(INDEX(T1_ProductType!$B:$B,MATCH(INDEX(T2_GroupSKU!$C:$C,MATCH(B395,T2_GroupSKU!$A:$A,0)),T1_ProductType!$A:$A,0)),"")</f>
        <v>Ring - Other</v>
      </c>
      <c r="E395" s="10" t="str">
        <f t="array" ref="E395">IFERROR(INDEX(T1_ProductType!$C:$C,MATCH(INDEX(T2_GroupSKU!$C:$C,MATCH(B395,T2_GroupSKU!$A:$A,0)),T1_ProductType!$A:$A,0)),"")</f>
        <v>Accessory</v>
      </c>
      <c r="F395" s="10" t="str">
        <f t="array" ref="F395">IFERROR(INDEX(T1_ProductType!$D:$D,MATCH(INDEX(T2_GroupSKU!$C:$C,MATCH(B395,T2_GroupSKU!$A:$A,0)),T1_ProductType!$A:$A,0)),"")</f>
        <v>Plastic Barrels</v>
      </c>
      <c r="G395" s="10" t="str">
        <f t="array" ref="G395">IFERROR(IF(INDEX(T1_ProductType!$E:$E,MATCH(INDEX(T2_GroupSKU!$C:$C,MATCH(B395,T2_GroupSKU!$A:$A,0)),T1_ProductType!$A:$A,0))="","-",INDEX(T1_ProductType!$E:$E,MATCH(INDEX(T2_GroupSKU!$C:$C,MATCH(B395,T2_GroupSKU!$A:$A,0)),T1_ProductType!$A:$A,0))),"-")</f>
        <v>-</v>
      </c>
      <c r="H395" s="10" t="str">
        <f t="array" ref="H395">IFERROR(IF(INDEX(T2_GroupSKU!$D:$D,MATCH(B395,T2_GroupSKU!$A:$A,0))="","-",INDEX(T2_GroupSKU!$D:$D,MATCH(B395,T2_GroupSKU!$A:$A,0))),"-")</f>
        <v>-</v>
      </c>
      <c r="I395" s="10" t="str">
        <f t="array" ref="I395">IFERROR(IF(INDEX(T2_GroupSKU!$E:$E,MATCH(B395,T2_GroupSKU!$A:$A,0))="","-",INDEX(T2_GroupSKU!$E:$E,MATCH(B395,T2_GroupSKU!$A:$A,0))),"-")</f>
        <v>-</v>
      </c>
      <c r="J395" s="10" t="str">
        <f>T3_SKU!C395</f>
        <v>M/Z RUBBER RING</v>
      </c>
      <c r="K395" s="10" t="str">
        <f>T3_SKU!D395</f>
        <v>M/Z RUBBER RING</v>
      </c>
      <c r="L395" s="10" t="str">
        <f>T3_SKU!E395</f>
        <v>NOS</v>
      </c>
      <c r="M395" s="10" t="str">
        <f>T3_SKU!F395</f>
        <v>39235010</v>
      </c>
    </row>
    <row r="396" ht="15.0" customHeight="1">
      <c r="A396" s="10" t="str">
        <f>T3_SKU!A396</f>
        <v>RKT-50-BLK-25KG</v>
      </c>
      <c r="B396" s="10" t="str">
        <f>T3_SKU!B396</f>
        <v>RKT-50</v>
      </c>
      <c r="C396" s="10" t="str">
        <f t="array" ref="C396">IFERROR(INDEX(T2_GroupSKU!$B:$B,MATCH(B396,T2_GroupSKU!$A:$A,0)),"")</f>
        <v>Rocket Can - 50.0 LTR</v>
      </c>
      <c r="D396" s="10" t="str">
        <f t="array" ref="D396">IFERROR(INDEX(T1_ProductType!$B:$B,MATCH(INDEX(T2_GroupSKU!$C:$C,MATCH(B396,T2_GroupSKU!$A:$A,0)),T1_ProductType!$A:$A,0)),"")</f>
        <v>Rocket Can</v>
      </c>
      <c r="E396" s="10" t="str">
        <f t="array" ref="E396">IFERROR(INDEX(T1_ProductType!$C:$C,MATCH(INDEX(T2_GroupSKU!$C:$C,MATCH(B396,T2_GroupSKU!$A:$A,0)),T1_ProductType!$A:$A,0)),"")</f>
        <v>Can</v>
      </c>
      <c r="F396" s="10" t="str">
        <f t="array" ref="F396">IFERROR(INDEX(T1_ProductType!$D:$D,MATCH(INDEX(T2_GroupSKU!$C:$C,MATCH(B396,T2_GroupSKU!$A:$A,0)),T1_ProductType!$A:$A,0)),"")</f>
        <v>Plastic Barrels</v>
      </c>
      <c r="G396" s="10" t="str">
        <f t="array" ref="G396">IFERROR(IF(INDEX(T1_ProductType!$E:$E,MATCH(INDEX(T2_GroupSKU!$C:$C,MATCH(B396,T2_GroupSKU!$A:$A,0)),T1_ProductType!$A:$A,0))="","-",INDEX(T1_ProductType!$E:$E,MATCH(INDEX(T2_GroupSKU!$C:$C,MATCH(B396,T2_GroupSKU!$A:$A,0)),T1_ProductType!$A:$A,0))),"-")</f>
        <v>Rocket Can</v>
      </c>
      <c r="H396" s="10">
        <f t="array" ref="H396">IFERROR(IF(INDEX(T2_GroupSKU!$D:$D,MATCH(B396,T2_GroupSKU!$A:$A,0))="","-",INDEX(T2_GroupSKU!$D:$D,MATCH(B396,T2_GroupSKU!$A:$A,0))),"-")</f>
        <v>50</v>
      </c>
      <c r="I396" s="10" t="str">
        <f t="array" ref="I396">IFERROR(IF(INDEX(T2_GroupSKU!$E:$E,MATCH(B396,T2_GroupSKU!$A:$A,0))="","-",INDEX(T2_GroupSKU!$E:$E,MATCH(B396,T2_GroupSKU!$A:$A,0))),"-")</f>
        <v>LTR</v>
      </c>
      <c r="J396" s="10" t="str">
        <f>T3_SKU!C396</f>
        <v>Black / 2.5 KG</v>
      </c>
      <c r="K396" s="10" t="str">
        <f>T3_SKU!D396</f>
        <v>50 LTR BLACK RKT 2.5 KG</v>
      </c>
      <c r="L396" s="10" t="str">
        <f>T3_SKU!E396</f>
        <v>NOS</v>
      </c>
      <c r="M396" s="10" t="str">
        <f>T3_SKU!F396</f>
        <v>39233090</v>
      </c>
    </row>
    <row r="397" ht="15.0" customHeight="1">
      <c r="A397" s="10" t="str">
        <f>T3_SKU!A397</f>
        <v>RKT-50-BLU-206KG</v>
      </c>
      <c r="B397" s="10" t="str">
        <f>T3_SKU!B397</f>
        <v>RKT-50</v>
      </c>
      <c r="C397" s="10" t="str">
        <f t="array" ref="C397">IFERROR(INDEX(T2_GroupSKU!$B:$B,MATCH(B397,T2_GroupSKU!$A:$A,0)),"")</f>
        <v>Rocket Can - 50.0 LTR</v>
      </c>
      <c r="D397" s="10" t="str">
        <f t="array" ref="D397">IFERROR(INDEX(T1_ProductType!$B:$B,MATCH(INDEX(T2_GroupSKU!$C:$C,MATCH(B397,T2_GroupSKU!$A:$A,0)),T1_ProductType!$A:$A,0)),"")</f>
        <v>Rocket Can</v>
      </c>
      <c r="E397" s="10" t="str">
        <f t="array" ref="E397">IFERROR(INDEX(T1_ProductType!$C:$C,MATCH(INDEX(T2_GroupSKU!$C:$C,MATCH(B397,T2_GroupSKU!$A:$A,0)),T1_ProductType!$A:$A,0)),"")</f>
        <v>Can</v>
      </c>
      <c r="F397" s="10" t="str">
        <f t="array" ref="F397">IFERROR(INDEX(T1_ProductType!$D:$D,MATCH(INDEX(T2_GroupSKU!$C:$C,MATCH(B397,T2_GroupSKU!$A:$A,0)),T1_ProductType!$A:$A,0)),"")</f>
        <v>Plastic Barrels</v>
      </c>
      <c r="G397" s="10" t="str">
        <f t="array" ref="G397">IFERROR(IF(INDEX(T1_ProductType!$E:$E,MATCH(INDEX(T2_GroupSKU!$C:$C,MATCH(B397,T2_GroupSKU!$A:$A,0)),T1_ProductType!$A:$A,0))="","-",INDEX(T1_ProductType!$E:$E,MATCH(INDEX(T2_GroupSKU!$C:$C,MATCH(B397,T2_GroupSKU!$A:$A,0)),T1_ProductType!$A:$A,0))),"-")</f>
        <v>Rocket Can</v>
      </c>
      <c r="H397" s="10">
        <f t="array" ref="H397">IFERROR(IF(INDEX(T2_GroupSKU!$D:$D,MATCH(B397,T2_GroupSKU!$A:$A,0))="","-",INDEX(T2_GroupSKU!$D:$D,MATCH(B397,T2_GroupSKU!$A:$A,0))),"-")</f>
        <v>50</v>
      </c>
      <c r="I397" s="10" t="str">
        <f t="array" ref="I397">IFERROR(IF(INDEX(T2_GroupSKU!$E:$E,MATCH(B397,T2_GroupSKU!$A:$A,0))="","-",INDEX(T2_GroupSKU!$E:$E,MATCH(B397,T2_GroupSKU!$A:$A,0))),"-")</f>
        <v>LTR</v>
      </c>
      <c r="J397" s="10" t="str">
        <f>T3_SKU!C397</f>
        <v>Blue / 2.06 KG</v>
      </c>
      <c r="K397" s="10" t="str">
        <f>T3_SKU!D397</f>
        <v>50 LTR BLUE RKT 2.06 KG</v>
      </c>
      <c r="L397" s="10" t="str">
        <f>T3_SKU!E397</f>
        <v>NOS</v>
      </c>
      <c r="M397" s="10" t="str">
        <f>T3_SKU!F397</f>
        <v>39233090</v>
      </c>
    </row>
    <row r="398" ht="15.0" customHeight="1">
      <c r="A398" s="10" t="str">
        <f>T3_SKU!A398</f>
        <v>RKT-50-BLU-226KG</v>
      </c>
      <c r="B398" s="10" t="str">
        <f>T3_SKU!B398</f>
        <v>RKT-50</v>
      </c>
      <c r="C398" s="10" t="str">
        <f t="array" ref="C398">IFERROR(INDEX(T2_GroupSKU!$B:$B,MATCH(B398,T2_GroupSKU!$A:$A,0)),"")</f>
        <v>Rocket Can - 50.0 LTR</v>
      </c>
      <c r="D398" s="10" t="str">
        <f t="array" ref="D398">IFERROR(INDEX(T1_ProductType!$B:$B,MATCH(INDEX(T2_GroupSKU!$C:$C,MATCH(B398,T2_GroupSKU!$A:$A,0)),T1_ProductType!$A:$A,0)),"")</f>
        <v>Rocket Can</v>
      </c>
      <c r="E398" s="10" t="str">
        <f t="array" ref="E398">IFERROR(INDEX(T1_ProductType!$C:$C,MATCH(INDEX(T2_GroupSKU!$C:$C,MATCH(B398,T2_GroupSKU!$A:$A,0)),T1_ProductType!$A:$A,0)),"")</f>
        <v>Can</v>
      </c>
      <c r="F398" s="10" t="str">
        <f t="array" ref="F398">IFERROR(INDEX(T1_ProductType!$D:$D,MATCH(INDEX(T2_GroupSKU!$C:$C,MATCH(B398,T2_GroupSKU!$A:$A,0)),T1_ProductType!$A:$A,0)),"")</f>
        <v>Plastic Barrels</v>
      </c>
      <c r="G398" s="10" t="str">
        <f t="array" ref="G398">IFERROR(IF(INDEX(T1_ProductType!$E:$E,MATCH(INDEX(T2_GroupSKU!$C:$C,MATCH(B398,T2_GroupSKU!$A:$A,0)),T1_ProductType!$A:$A,0))="","-",INDEX(T1_ProductType!$E:$E,MATCH(INDEX(T2_GroupSKU!$C:$C,MATCH(B398,T2_GroupSKU!$A:$A,0)),T1_ProductType!$A:$A,0))),"-")</f>
        <v>Rocket Can</v>
      </c>
      <c r="H398" s="10">
        <f t="array" ref="H398">IFERROR(IF(INDEX(T2_GroupSKU!$D:$D,MATCH(B398,T2_GroupSKU!$A:$A,0))="","-",INDEX(T2_GroupSKU!$D:$D,MATCH(B398,T2_GroupSKU!$A:$A,0))),"-")</f>
        <v>50</v>
      </c>
      <c r="I398" s="10" t="str">
        <f t="array" ref="I398">IFERROR(IF(INDEX(T2_GroupSKU!$E:$E,MATCH(B398,T2_GroupSKU!$A:$A,0))="","-",INDEX(T2_GroupSKU!$E:$E,MATCH(B398,T2_GroupSKU!$A:$A,0))),"-")</f>
        <v>LTR</v>
      </c>
      <c r="J398" s="10" t="str">
        <f>T3_SKU!C398</f>
        <v>Blue / 2.26 KG</v>
      </c>
      <c r="K398" s="10" t="str">
        <f>T3_SKU!D398</f>
        <v>50 LTR BLUE RKT 2.26 KG</v>
      </c>
      <c r="L398" s="10" t="str">
        <f>T3_SKU!E398</f>
        <v>NOS</v>
      </c>
      <c r="M398" s="10" t="str">
        <f>T3_SKU!F398</f>
        <v>39233090</v>
      </c>
    </row>
    <row r="399" ht="15.0" customHeight="1">
      <c r="A399" s="10" t="str">
        <f>T3_SKU!A399</f>
        <v>RKT-50-BLU-22KG</v>
      </c>
      <c r="B399" s="10" t="str">
        <f>T3_SKU!B399</f>
        <v>RKT-50</v>
      </c>
      <c r="C399" s="10" t="str">
        <f t="array" ref="C399">IFERROR(INDEX(T2_GroupSKU!$B:$B,MATCH(B399,T2_GroupSKU!$A:$A,0)),"")</f>
        <v>Rocket Can - 50.0 LTR</v>
      </c>
      <c r="D399" s="10" t="str">
        <f t="array" ref="D399">IFERROR(INDEX(T1_ProductType!$B:$B,MATCH(INDEX(T2_GroupSKU!$C:$C,MATCH(B399,T2_GroupSKU!$A:$A,0)),T1_ProductType!$A:$A,0)),"")</f>
        <v>Rocket Can</v>
      </c>
      <c r="E399" s="10" t="str">
        <f t="array" ref="E399">IFERROR(INDEX(T1_ProductType!$C:$C,MATCH(INDEX(T2_GroupSKU!$C:$C,MATCH(B399,T2_GroupSKU!$A:$A,0)),T1_ProductType!$A:$A,0)),"")</f>
        <v>Can</v>
      </c>
      <c r="F399" s="10" t="str">
        <f t="array" ref="F399">IFERROR(INDEX(T1_ProductType!$D:$D,MATCH(INDEX(T2_GroupSKU!$C:$C,MATCH(B399,T2_GroupSKU!$A:$A,0)),T1_ProductType!$A:$A,0)),"")</f>
        <v>Plastic Barrels</v>
      </c>
      <c r="G399" s="10" t="str">
        <f t="array" ref="G399">IFERROR(IF(INDEX(T1_ProductType!$E:$E,MATCH(INDEX(T2_GroupSKU!$C:$C,MATCH(B399,T2_GroupSKU!$A:$A,0)),T1_ProductType!$A:$A,0))="","-",INDEX(T1_ProductType!$E:$E,MATCH(INDEX(T2_GroupSKU!$C:$C,MATCH(B399,T2_GroupSKU!$A:$A,0)),T1_ProductType!$A:$A,0))),"-")</f>
        <v>Rocket Can</v>
      </c>
      <c r="H399" s="10">
        <f t="array" ref="H399">IFERROR(IF(INDEX(T2_GroupSKU!$D:$D,MATCH(B399,T2_GroupSKU!$A:$A,0))="","-",INDEX(T2_GroupSKU!$D:$D,MATCH(B399,T2_GroupSKU!$A:$A,0))),"-")</f>
        <v>50</v>
      </c>
      <c r="I399" s="10" t="str">
        <f t="array" ref="I399">IFERROR(IF(INDEX(T2_GroupSKU!$E:$E,MATCH(B399,T2_GroupSKU!$A:$A,0))="","-",INDEX(T2_GroupSKU!$E:$E,MATCH(B399,T2_GroupSKU!$A:$A,0))),"-")</f>
        <v>LTR</v>
      </c>
      <c r="J399" s="10" t="str">
        <f>T3_SKU!C399</f>
        <v>Blue / 2.2 KG</v>
      </c>
      <c r="K399" s="10" t="str">
        <f>T3_SKU!D399</f>
        <v>50 LTR BLUE RKT  2.2 KG</v>
      </c>
      <c r="L399" s="10" t="str">
        <f>T3_SKU!E399</f>
        <v>NOS</v>
      </c>
      <c r="M399" s="10" t="str">
        <f>T3_SKU!F399</f>
        <v>39233090</v>
      </c>
    </row>
    <row r="400" ht="15.0" customHeight="1">
      <c r="A400" s="10" t="str">
        <f>T3_SKU!A400</f>
        <v>RKT-50-BLU-236KG</v>
      </c>
      <c r="B400" s="10" t="str">
        <f>T3_SKU!B400</f>
        <v>RKT-50</v>
      </c>
      <c r="C400" s="10" t="str">
        <f t="array" ref="C400">IFERROR(INDEX(T2_GroupSKU!$B:$B,MATCH(B400,T2_GroupSKU!$A:$A,0)),"")</f>
        <v>Rocket Can - 50.0 LTR</v>
      </c>
      <c r="D400" s="10" t="str">
        <f t="array" ref="D400">IFERROR(INDEX(T1_ProductType!$B:$B,MATCH(INDEX(T2_GroupSKU!$C:$C,MATCH(B400,T2_GroupSKU!$A:$A,0)),T1_ProductType!$A:$A,0)),"")</f>
        <v>Rocket Can</v>
      </c>
      <c r="E400" s="10" t="str">
        <f t="array" ref="E400">IFERROR(INDEX(T1_ProductType!$C:$C,MATCH(INDEX(T2_GroupSKU!$C:$C,MATCH(B400,T2_GroupSKU!$A:$A,0)),T1_ProductType!$A:$A,0)),"")</f>
        <v>Can</v>
      </c>
      <c r="F400" s="10" t="str">
        <f t="array" ref="F400">IFERROR(INDEX(T1_ProductType!$D:$D,MATCH(INDEX(T2_GroupSKU!$C:$C,MATCH(B400,T2_GroupSKU!$A:$A,0)),T1_ProductType!$A:$A,0)),"")</f>
        <v>Plastic Barrels</v>
      </c>
      <c r="G400" s="10" t="str">
        <f t="array" ref="G400">IFERROR(IF(INDEX(T1_ProductType!$E:$E,MATCH(INDEX(T2_GroupSKU!$C:$C,MATCH(B400,T2_GroupSKU!$A:$A,0)),T1_ProductType!$A:$A,0))="","-",INDEX(T1_ProductType!$E:$E,MATCH(INDEX(T2_GroupSKU!$C:$C,MATCH(B400,T2_GroupSKU!$A:$A,0)),T1_ProductType!$A:$A,0))),"-")</f>
        <v>Rocket Can</v>
      </c>
      <c r="H400" s="10">
        <f t="array" ref="H400">IFERROR(IF(INDEX(T2_GroupSKU!$D:$D,MATCH(B400,T2_GroupSKU!$A:$A,0))="","-",INDEX(T2_GroupSKU!$D:$D,MATCH(B400,T2_GroupSKU!$A:$A,0))),"-")</f>
        <v>50</v>
      </c>
      <c r="I400" s="10" t="str">
        <f t="array" ref="I400">IFERROR(IF(INDEX(T2_GroupSKU!$E:$E,MATCH(B400,T2_GroupSKU!$A:$A,0))="","-",INDEX(T2_GroupSKU!$E:$E,MATCH(B400,T2_GroupSKU!$A:$A,0))),"-")</f>
        <v>LTR</v>
      </c>
      <c r="J400" s="10" t="str">
        <f>T3_SKU!C400</f>
        <v>Blue / 2.36 KG</v>
      </c>
      <c r="K400" s="10" t="str">
        <f>T3_SKU!D400</f>
        <v>50 LTR BLUE RKT 2.36 KG</v>
      </c>
      <c r="L400" s="10" t="str">
        <f>T3_SKU!E400</f>
        <v>NOS</v>
      </c>
      <c r="M400" s="10" t="str">
        <f>T3_SKU!F400</f>
        <v>39233090</v>
      </c>
    </row>
    <row r="401" ht="15.0" customHeight="1">
      <c r="A401" s="10" t="str">
        <f>T3_SKU!A401</f>
        <v>RKT-50-BLU-246KG</v>
      </c>
      <c r="B401" s="10" t="str">
        <f>T3_SKU!B401</f>
        <v>RKT-50</v>
      </c>
      <c r="C401" s="10" t="str">
        <f t="array" ref="C401">IFERROR(INDEX(T2_GroupSKU!$B:$B,MATCH(B401,T2_GroupSKU!$A:$A,0)),"")</f>
        <v>Rocket Can - 50.0 LTR</v>
      </c>
      <c r="D401" s="10" t="str">
        <f t="array" ref="D401">IFERROR(INDEX(T1_ProductType!$B:$B,MATCH(INDEX(T2_GroupSKU!$C:$C,MATCH(B401,T2_GroupSKU!$A:$A,0)),T1_ProductType!$A:$A,0)),"")</f>
        <v>Rocket Can</v>
      </c>
      <c r="E401" s="10" t="str">
        <f t="array" ref="E401">IFERROR(INDEX(T1_ProductType!$C:$C,MATCH(INDEX(T2_GroupSKU!$C:$C,MATCH(B401,T2_GroupSKU!$A:$A,0)),T1_ProductType!$A:$A,0)),"")</f>
        <v>Can</v>
      </c>
      <c r="F401" s="10" t="str">
        <f t="array" ref="F401">IFERROR(INDEX(T1_ProductType!$D:$D,MATCH(INDEX(T2_GroupSKU!$C:$C,MATCH(B401,T2_GroupSKU!$A:$A,0)),T1_ProductType!$A:$A,0)),"")</f>
        <v>Plastic Barrels</v>
      </c>
      <c r="G401" s="10" t="str">
        <f t="array" ref="G401">IFERROR(IF(INDEX(T1_ProductType!$E:$E,MATCH(INDEX(T2_GroupSKU!$C:$C,MATCH(B401,T2_GroupSKU!$A:$A,0)),T1_ProductType!$A:$A,0))="","-",INDEX(T1_ProductType!$E:$E,MATCH(INDEX(T2_GroupSKU!$C:$C,MATCH(B401,T2_GroupSKU!$A:$A,0)),T1_ProductType!$A:$A,0))),"-")</f>
        <v>Rocket Can</v>
      </c>
      <c r="H401" s="10">
        <f t="array" ref="H401">IFERROR(IF(INDEX(T2_GroupSKU!$D:$D,MATCH(B401,T2_GroupSKU!$A:$A,0))="","-",INDEX(T2_GroupSKU!$D:$D,MATCH(B401,T2_GroupSKU!$A:$A,0))),"-")</f>
        <v>50</v>
      </c>
      <c r="I401" s="10" t="str">
        <f t="array" ref="I401">IFERROR(IF(INDEX(T2_GroupSKU!$E:$E,MATCH(B401,T2_GroupSKU!$A:$A,0))="","-",INDEX(T2_GroupSKU!$E:$E,MATCH(B401,T2_GroupSKU!$A:$A,0))),"-")</f>
        <v>LTR</v>
      </c>
      <c r="J401" s="10" t="str">
        <f>T3_SKU!C401</f>
        <v>Blue / 2.46 KG</v>
      </c>
      <c r="K401" s="10" t="str">
        <f>T3_SKU!D401</f>
        <v>50 LTR BLUE RKT 2.46 KG</v>
      </c>
      <c r="L401" s="10" t="str">
        <f>T3_SKU!E401</f>
        <v>NOS</v>
      </c>
      <c r="M401" s="10" t="str">
        <f>T3_SKU!F401</f>
        <v>39233090</v>
      </c>
    </row>
    <row r="402" ht="15.0" customHeight="1">
      <c r="A402" s="10" t="str">
        <f>T3_SKU!A402</f>
        <v>RKT-50-BLU-24KG</v>
      </c>
      <c r="B402" s="10" t="str">
        <f>T3_SKU!B402</f>
        <v>RKT-50</v>
      </c>
      <c r="C402" s="10" t="str">
        <f t="array" ref="C402">IFERROR(INDEX(T2_GroupSKU!$B:$B,MATCH(B402,T2_GroupSKU!$A:$A,0)),"")</f>
        <v>Rocket Can - 50.0 LTR</v>
      </c>
      <c r="D402" s="10" t="str">
        <f t="array" ref="D402">IFERROR(INDEX(T1_ProductType!$B:$B,MATCH(INDEX(T2_GroupSKU!$C:$C,MATCH(B402,T2_GroupSKU!$A:$A,0)),T1_ProductType!$A:$A,0)),"")</f>
        <v>Rocket Can</v>
      </c>
      <c r="E402" s="10" t="str">
        <f t="array" ref="E402">IFERROR(INDEX(T1_ProductType!$C:$C,MATCH(INDEX(T2_GroupSKU!$C:$C,MATCH(B402,T2_GroupSKU!$A:$A,0)),T1_ProductType!$A:$A,0)),"")</f>
        <v>Can</v>
      </c>
      <c r="F402" s="10" t="str">
        <f t="array" ref="F402">IFERROR(INDEX(T1_ProductType!$D:$D,MATCH(INDEX(T2_GroupSKU!$C:$C,MATCH(B402,T2_GroupSKU!$A:$A,0)),T1_ProductType!$A:$A,0)),"")</f>
        <v>Plastic Barrels</v>
      </c>
      <c r="G402" s="10" t="str">
        <f t="array" ref="G402">IFERROR(IF(INDEX(T1_ProductType!$E:$E,MATCH(INDEX(T2_GroupSKU!$C:$C,MATCH(B402,T2_GroupSKU!$A:$A,0)),T1_ProductType!$A:$A,0))="","-",INDEX(T1_ProductType!$E:$E,MATCH(INDEX(T2_GroupSKU!$C:$C,MATCH(B402,T2_GroupSKU!$A:$A,0)),T1_ProductType!$A:$A,0))),"-")</f>
        <v>Rocket Can</v>
      </c>
      <c r="H402" s="10">
        <f t="array" ref="H402">IFERROR(IF(INDEX(T2_GroupSKU!$D:$D,MATCH(B402,T2_GroupSKU!$A:$A,0))="","-",INDEX(T2_GroupSKU!$D:$D,MATCH(B402,T2_GroupSKU!$A:$A,0))),"-")</f>
        <v>50</v>
      </c>
      <c r="I402" s="10" t="str">
        <f t="array" ref="I402">IFERROR(IF(INDEX(T2_GroupSKU!$E:$E,MATCH(B402,T2_GroupSKU!$A:$A,0))="","-",INDEX(T2_GroupSKU!$E:$E,MATCH(B402,T2_GroupSKU!$A:$A,0))),"-")</f>
        <v>LTR</v>
      </c>
      <c r="J402" s="10" t="str">
        <f>T3_SKU!C402</f>
        <v>Blue / 2.4 KG</v>
      </c>
      <c r="K402" s="10" t="str">
        <f>T3_SKU!D402</f>
        <v>50 LTR BLUE RKT 2.4 KG</v>
      </c>
      <c r="L402" s="10" t="str">
        <f>T3_SKU!E402</f>
        <v>NOS</v>
      </c>
      <c r="M402" s="10" t="str">
        <f>T3_SKU!F402</f>
        <v>39233090</v>
      </c>
    </row>
    <row r="403" ht="15.0" customHeight="1">
      <c r="A403" s="10" t="str">
        <f>T3_SKU!A403</f>
        <v>RKT-50-BLU-25KG</v>
      </c>
      <c r="B403" s="10" t="str">
        <f>T3_SKU!B403</f>
        <v>RKT-50</v>
      </c>
      <c r="C403" s="10" t="str">
        <f t="array" ref="C403">IFERROR(INDEX(T2_GroupSKU!$B:$B,MATCH(B403,T2_GroupSKU!$A:$A,0)),"")</f>
        <v>Rocket Can - 50.0 LTR</v>
      </c>
      <c r="D403" s="10" t="str">
        <f t="array" ref="D403">IFERROR(INDEX(T1_ProductType!$B:$B,MATCH(INDEX(T2_GroupSKU!$C:$C,MATCH(B403,T2_GroupSKU!$A:$A,0)),T1_ProductType!$A:$A,0)),"")</f>
        <v>Rocket Can</v>
      </c>
      <c r="E403" s="10" t="str">
        <f t="array" ref="E403">IFERROR(INDEX(T1_ProductType!$C:$C,MATCH(INDEX(T2_GroupSKU!$C:$C,MATCH(B403,T2_GroupSKU!$A:$A,0)),T1_ProductType!$A:$A,0)),"")</f>
        <v>Can</v>
      </c>
      <c r="F403" s="10" t="str">
        <f t="array" ref="F403">IFERROR(INDEX(T1_ProductType!$D:$D,MATCH(INDEX(T2_GroupSKU!$C:$C,MATCH(B403,T2_GroupSKU!$A:$A,0)),T1_ProductType!$A:$A,0)),"")</f>
        <v>Plastic Barrels</v>
      </c>
      <c r="G403" s="10" t="str">
        <f t="array" ref="G403">IFERROR(IF(INDEX(T1_ProductType!$E:$E,MATCH(INDEX(T2_GroupSKU!$C:$C,MATCH(B403,T2_GroupSKU!$A:$A,0)),T1_ProductType!$A:$A,0))="","-",INDEX(T1_ProductType!$E:$E,MATCH(INDEX(T2_GroupSKU!$C:$C,MATCH(B403,T2_GroupSKU!$A:$A,0)),T1_ProductType!$A:$A,0))),"-")</f>
        <v>Rocket Can</v>
      </c>
      <c r="H403" s="10">
        <f t="array" ref="H403">IFERROR(IF(INDEX(T2_GroupSKU!$D:$D,MATCH(B403,T2_GroupSKU!$A:$A,0))="","-",INDEX(T2_GroupSKU!$D:$D,MATCH(B403,T2_GroupSKU!$A:$A,0))),"-")</f>
        <v>50</v>
      </c>
      <c r="I403" s="10" t="str">
        <f t="array" ref="I403">IFERROR(IF(INDEX(T2_GroupSKU!$E:$E,MATCH(B403,T2_GroupSKU!$A:$A,0))="","-",INDEX(T2_GroupSKU!$E:$E,MATCH(B403,T2_GroupSKU!$A:$A,0))),"-")</f>
        <v>LTR</v>
      </c>
      <c r="J403" s="10" t="str">
        <f>T3_SKU!C403</f>
        <v>Blue / 2.5 KG</v>
      </c>
      <c r="K403" s="10" t="str">
        <f>T3_SKU!D403</f>
        <v>50 LTR BLUE RKT 2.5 KG</v>
      </c>
      <c r="L403" s="10" t="str">
        <f>T3_SKU!E403</f>
        <v>NOS</v>
      </c>
      <c r="M403" s="10" t="str">
        <f>T3_SKU!F403</f>
        <v>39233090</v>
      </c>
    </row>
    <row r="404" ht="15.0" customHeight="1">
      <c r="A404" s="10" t="str">
        <f>T3_SKU!A404</f>
        <v>RKT-50-BLU-266KG</v>
      </c>
      <c r="B404" s="10" t="str">
        <f>T3_SKU!B404</f>
        <v>RKT-50</v>
      </c>
      <c r="C404" s="10" t="str">
        <f t="array" ref="C404">IFERROR(INDEX(T2_GroupSKU!$B:$B,MATCH(B404,T2_GroupSKU!$A:$A,0)),"")</f>
        <v>Rocket Can - 50.0 LTR</v>
      </c>
      <c r="D404" s="10" t="str">
        <f t="array" ref="D404">IFERROR(INDEX(T1_ProductType!$B:$B,MATCH(INDEX(T2_GroupSKU!$C:$C,MATCH(B404,T2_GroupSKU!$A:$A,0)),T1_ProductType!$A:$A,0)),"")</f>
        <v>Rocket Can</v>
      </c>
      <c r="E404" s="10" t="str">
        <f t="array" ref="E404">IFERROR(INDEX(T1_ProductType!$C:$C,MATCH(INDEX(T2_GroupSKU!$C:$C,MATCH(B404,T2_GroupSKU!$A:$A,0)),T1_ProductType!$A:$A,0)),"")</f>
        <v>Can</v>
      </c>
      <c r="F404" s="10" t="str">
        <f t="array" ref="F404">IFERROR(INDEX(T1_ProductType!$D:$D,MATCH(INDEX(T2_GroupSKU!$C:$C,MATCH(B404,T2_GroupSKU!$A:$A,0)),T1_ProductType!$A:$A,0)),"")</f>
        <v>Plastic Barrels</v>
      </c>
      <c r="G404" s="10" t="str">
        <f t="array" ref="G404">IFERROR(IF(INDEX(T1_ProductType!$E:$E,MATCH(INDEX(T2_GroupSKU!$C:$C,MATCH(B404,T2_GroupSKU!$A:$A,0)),T1_ProductType!$A:$A,0))="","-",INDEX(T1_ProductType!$E:$E,MATCH(INDEX(T2_GroupSKU!$C:$C,MATCH(B404,T2_GroupSKU!$A:$A,0)),T1_ProductType!$A:$A,0))),"-")</f>
        <v>Rocket Can</v>
      </c>
      <c r="H404" s="10">
        <f t="array" ref="H404">IFERROR(IF(INDEX(T2_GroupSKU!$D:$D,MATCH(B404,T2_GroupSKU!$A:$A,0))="","-",INDEX(T2_GroupSKU!$D:$D,MATCH(B404,T2_GroupSKU!$A:$A,0))),"-")</f>
        <v>50</v>
      </c>
      <c r="I404" s="10" t="str">
        <f t="array" ref="I404">IFERROR(IF(INDEX(T2_GroupSKU!$E:$E,MATCH(B404,T2_GroupSKU!$A:$A,0))="","-",INDEX(T2_GroupSKU!$E:$E,MATCH(B404,T2_GroupSKU!$A:$A,0))),"-")</f>
        <v>LTR</v>
      </c>
      <c r="J404" s="10" t="str">
        <f>T3_SKU!C404</f>
        <v>Blue / 2.66 KG</v>
      </c>
      <c r="K404" s="10" t="str">
        <f>T3_SKU!D404</f>
        <v>50 LTR BLUE RKT 2.66 KG</v>
      </c>
      <c r="L404" s="10" t="str">
        <f>T3_SKU!E404</f>
        <v>NOS</v>
      </c>
      <c r="M404" s="10" t="str">
        <f>T3_SKU!F404</f>
        <v>39233090</v>
      </c>
    </row>
    <row r="405" ht="15.0" customHeight="1">
      <c r="A405" s="10" t="str">
        <f>T3_SKU!A405</f>
        <v>RKT-50-BLU-26KG</v>
      </c>
      <c r="B405" s="10" t="str">
        <f>T3_SKU!B405</f>
        <v>RKT-50</v>
      </c>
      <c r="C405" s="10" t="str">
        <f t="array" ref="C405">IFERROR(INDEX(T2_GroupSKU!$B:$B,MATCH(B405,T2_GroupSKU!$A:$A,0)),"")</f>
        <v>Rocket Can - 50.0 LTR</v>
      </c>
      <c r="D405" s="10" t="str">
        <f t="array" ref="D405">IFERROR(INDEX(T1_ProductType!$B:$B,MATCH(INDEX(T2_GroupSKU!$C:$C,MATCH(B405,T2_GroupSKU!$A:$A,0)),T1_ProductType!$A:$A,0)),"")</f>
        <v>Rocket Can</v>
      </c>
      <c r="E405" s="10" t="str">
        <f t="array" ref="E405">IFERROR(INDEX(T1_ProductType!$C:$C,MATCH(INDEX(T2_GroupSKU!$C:$C,MATCH(B405,T2_GroupSKU!$A:$A,0)),T1_ProductType!$A:$A,0)),"")</f>
        <v>Can</v>
      </c>
      <c r="F405" s="10" t="str">
        <f t="array" ref="F405">IFERROR(INDEX(T1_ProductType!$D:$D,MATCH(INDEX(T2_GroupSKU!$C:$C,MATCH(B405,T2_GroupSKU!$A:$A,0)),T1_ProductType!$A:$A,0)),"")</f>
        <v>Plastic Barrels</v>
      </c>
      <c r="G405" s="10" t="str">
        <f t="array" ref="G405">IFERROR(IF(INDEX(T1_ProductType!$E:$E,MATCH(INDEX(T2_GroupSKU!$C:$C,MATCH(B405,T2_GroupSKU!$A:$A,0)),T1_ProductType!$A:$A,0))="","-",INDEX(T1_ProductType!$E:$E,MATCH(INDEX(T2_GroupSKU!$C:$C,MATCH(B405,T2_GroupSKU!$A:$A,0)),T1_ProductType!$A:$A,0))),"-")</f>
        <v>Rocket Can</v>
      </c>
      <c r="H405" s="10">
        <f t="array" ref="H405">IFERROR(IF(INDEX(T2_GroupSKU!$D:$D,MATCH(B405,T2_GroupSKU!$A:$A,0))="","-",INDEX(T2_GroupSKU!$D:$D,MATCH(B405,T2_GroupSKU!$A:$A,0))),"-")</f>
        <v>50</v>
      </c>
      <c r="I405" s="10" t="str">
        <f t="array" ref="I405">IFERROR(IF(INDEX(T2_GroupSKU!$E:$E,MATCH(B405,T2_GroupSKU!$A:$A,0))="","-",INDEX(T2_GroupSKU!$E:$E,MATCH(B405,T2_GroupSKU!$A:$A,0))),"-")</f>
        <v>LTR</v>
      </c>
      <c r="J405" s="10" t="str">
        <f>T3_SKU!C405</f>
        <v>Blue / 2.6 KG</v>
      </c>
      <c r="K405" s="10" t="str">
        <f>T3_SKU!D405</f>
        <v>50 LTR BLUE RKT 2.6 KG</v>
      </c>
      <c r="L405" s="10" t="str">
        <f>T3_SKU!E405</f>
        <v>NOS</v>
      </c>
      <c r="M405" s="10" t="str">
        <f>T3_SKU!F405</f>
        <v>39233090</v>
      </c>
    </row>
    <row r="406" ht="15.0" customHeight="1">
      <c r="A406" s="10" t="str">
        <f>T3_SKU!A406</f>
        <v>RKT-50-BLU-27KG</v>
      </c>
      <c r="B406" s="10" t="str">
        <f>T3_SKU!B406</f>
        <v>RKT-50</v>
      </c>
      <c r="C406" s="10" t="str">
        <f t="array" ref="C406">IFERROR(INDEX(T2_GroupSKU!$B:$B,MATCH(B406,T2_GroupSKU!$A:$A,0)),"")</f>
        <v>Rocket Can - 50.0 LTR</v>
      </c>
      <c r="D406" s="10" t="str">
        <f t="array" ref="D406">IFERROR(INDEX(T1_ProductType!$B:$B,MATCH(INDEX(T2_GroupSKU!$C:$C,MATCH(B406,T2_GroupSKU!$A:$A,0)),T1_ProductType!$A:$A,0)),"")</f>
        <v>Rocket Can</v>
      </c>
      <c r="E406" s="10" t="str">
        <f t="array" ref="E406">IFERROR(INDEX(T1_ProductType!$C:$C,MATCH(INDEX(T2_GroupSKU!$C:$C,MATCH(B406,T2_GroupSKU!$A:$A,0)),T1_ProductType!$A:$A,0)),"")</f>
        <v>Can</v>
      </c>
      <c r="F406" s="10" t="str">
        <f t="array" ref="F406">IFERROR(INDEX(T1_ProductType!$D:$D,MATCH(INDEX(T2_GroupSKU!$C:$C,MATCH(B406,T2_GroupSKU!$A:$A,0)),T1_ProductType!$A:$A,0)),"")</f>
        <v>Plastic Barrels</v>
      </c>
      <c r="G406" s="10" t="str">
        <f t="array" ref="G406">IFERROR(IF(INDEX(T1_ProductType!$E:$E,MATCH(INDEX(T2_GroupSKU!$C:$C,MATCH(B406,T2_GroupSKU!$A:$A,0)),T1_ProductType!$A:$A,0))="","-",INDEX(T1_ProductType!$E:$E,MATCH(INDEX(T2_GroupSKU!$C:$C,MATCH(B406,T2_GroupSKU!$A:$A,0)),T1_ProductType!$A:$A,0))),"-")</f>
        <v>Rocket Can</v>
      </c>
      <c r="H406" s="10">
        <f t="array" ref="H406">IFERROR(IF(INDEX(T2_GroupSKU!$D:$D,MATCH(B406,T2_GroupSKU!$A:$A,0))="","-",INDEX(T2_GroupSKU!$D:$D,MATCH(B406,T2_GroupSKU!$A:$A,0))),"-")</f>
        <v>50</v>
      </c>
      <c r="I406" s="10" t="str">
        <f t="array" ref="I406">IFERROR(IF(INDEX(T2_GroupSKU!$E:$E,MATCH(B406,T2_GroupSKU!$A:$A,0))="","-",INDEX(T2_GroupSKU!$E:$E,MATCH(B406,T2_GroupSKU!$A:$A,0))),"-")</f>
        <v>LTR</v>
      </c>
      <c r="J406" s="10" t="str">
        <f>T3_SKU!C406</f>
        <v>Blue / 2.7 KG</v>
      </c>
      <c r="K406" s="10" t="str">
        <f>T3_SKU!D406</f>
        <v>50 LTR BLUE RKT  2.7 kg</v>
      </c>
      <c r="L406" s="10" t="str">
        <f>T3_SKU!E406</f>
        <v>NOS</v>
      </c>
      <c r="M406" s="10" t="str">
        <f>T3_SKU!F406</f>
        <v>39233090</v>
      </c>
    </row>
    <row r="407" ht="15.0" customHeight="1">
      <c r="A407" s="10" t="str">
        <f>T3_SKU!A407</f>
        <v>RKT-50-BLU-286KG</v>
      </c>
      <c r="B407" s="10" t="str">
        <f>T3_SKU!B407</f>
        <v>RKT-50</v>
      </c>
      <c r="C407" s="10" t="str">
        <f t="array" ref="C407">IFERROR(INDEX(T2_GroupSKU!$B:$B,MATCH(B407,T2_GroupSKU!$A:$A,0)),"")</f>
        <v>Rocket Can - 50.0 LTR</v>
      </c>
      <c r="D407" s="10" t="str">
        <f t="array" ref="D407">IFERROR(INDEX(T1_ProductType!$B:$B,MATCH(INDEX(T2_GroupSKU!$C:$C,MATCH(B407,T2_GroupSKU!$A:$A,0)),T1_ProductType!$A:$A,0)),"")</f>
        <v>Rocket Can</v>
      </c>
      <c r="E407" s="10" t="str">
        <f t="array" ref="E407">IFERROR(INDEX(T1_ProductType!$C:$C,MATCH(INDEX(T2_GroupSKU!$C:$C,MATCH(B407,T2_GroupSKU!$A:$A,0)),T1_ProductType!$A:$A,0)),"")</f>
        <v>Can</v>
      </c>
      <c r="F407" s="10" t="str">
        <f t="array" ref="F407">IFERROR(INDEX(T1_ProductType!$D:$D,MATCH(INDEX(T2_GroupSKU!$C:$C,MATCH(B407,T2_GroupSKU!$A:$A,0)),T1_ProductType!$A:$A,0)),"")</f>
        <v>Plastic Barrels</v>
      </c>
      <c r="G407" s="10" t="str">
        <f t="array" ref="G407">IFERROR(IF(INDEX(T1_ProductType!$E:$E,MATCH(INDEX(T2_GroupSKU!$C:$C,MATCH(B407,T2_GroupSKU!$A:$A,0)),T1_ProductType!$A:$A,0))="","-",INDEX(T1_ProductType!$E:$E,MATCH(INDEX(T2_GroupSKU!$C:$C,MATCH(B407,T2_GroupSKU!$A:$A,0)),T1_ProductType!$A:$A,0))),"-")</f>
        <v>Rocket Can</v>
      </c>
      <c r="H407" s="10">
        <f t="array" ref="H407">IFERROR(IF(INDEX(T2_GroupSKU!$D:$D,MATCH(B407,T2_GroupSKU!$A:$A,0))="","-",INDEX(T2_GroupSKU!$D:$D,MATCH(B407,T2_GroupSKU!$A:$A,0))),"-")</f>
        <v>50</v>
      </c>
      <c r="I407" s="10" t="str">
        <f t="array" ref="I407">IFERROR(IF(INDEX(T2_GroupSKU!$E:$E,MATCH(B407,T2_GroupSKU!$A:$A,0))="","-",INDEX(T2_GroupSKU!$E:$E,MATCH(B407,T2_GroupSKU!$A:$A,0))),"-")</f>
        <v>LTR</v>
      </c>
      <c r="J407" s="10" t="str">
        <f>T3_SKU!C407</f>
        <v>Blue / 2.86 KG</v>
      </c>
      <c r="K407" s="10" t="str">
        <f>T3_SKU!D407</f>
        <v>50 LTR BLUE RKT 2.86 KG</v>
      </c>
      <c r="L407" s="10" t="str">
        <f>T3_SKU!E407</f>
        <v>NOS</v>
      </c>
      <c r="M407" s="10" t="str">
        <f>T3_SKU!F407</f>
        <v>39233090</v>
      </c>
    </row>
    <row r="408" ht="15.0" customHeight="1">
      <c r="A408" s="10" t="str">
        <f>T3_SKU!A408</f>
        <v>RKT-50-BLU-28KG</v>
      </c>
      <c r="B408" s="10" t="str">
        <f>T3_SKU!B408</f>
        <v>RKT-50</v>
      </c>
      <c r="C408" s="10" t="str">
        <f t="array" ref="C408">IFERROR(INDEX(T2_GroupSKU!$B:$B,MATCH(B408,T2_GroupSKU!$A:$A,0)),"")</f>
        <v>Rocket Can - 50.0 LTR</v>
      </c>
      <c r="D408" s="10" t="str">
        <f t="array" ref="D408">IFERROR(INDEX(T1_ProductType!$B:$B,MATCH(INDEX(T2_GroupSKU!$C:$C,MATCH(B408,T2_GroupSKU!$A:$A,0)),T1_ProductType!$A:$A,0)),"")</f>
        <v>Rocket Can</v>
      </c>
      <c r="E408" s="10" t="str">
        <f t="array" ref="E408">IFERROR(INDEX(T1_ProductType!$C:$C,MATCH(INDEX(T2_GroupSKU!$C:$C,MATCH(B408,T2_GroupSKU!$A:$A,0)),T1_ProductType!$A:$A,0)),"")</f>
        <v>Can</v>
      </c>
      <c r="F408" s="10" t="str">
        <f t="array" ref="F408">IFERROR(INDEX(T1_ProductType!$D:$D,MATCH(INDEX(T2_GroupSKU!$C:$C,MATCH(B408,T2_GroupSKU!$A:$A,0)),T1_ProductType!$A:$A,0)),"")</f>
        <v>Plastic Barrels</v>
      </c>
      <c r="G408" s="10" t="str">
        <f t="array" ref="G408">IFERROR(IF(INDEX(T1_ProductType!$E:$E,MATCH(INDEX(T2_GroupSKU!$C:$C,MATCH(B408,T2_GroupSKU!$A:$A,0)),T1_ProductType!$A:$A,0))="","-",INDEX(T1_ProductType!$E:$E,MATCH(INDEX(T2_GroupSKU!$C:$C,MATCH(B408,T2_GroupSKU!$A:$A,0)),T1_ProductType!$A:$A,0))),"-")</f>
        <v>Rocket Can</v>
      </c>
      <c r="H408" s="10">
        <f t="array" ref="H408">IFERROR(IF(INDEX(T2_GroupSKU!$D:$D,MATCH(B408,T2_GroupSKU!$A:$A,0))="","-",INDEX(T2_GroupSKU!$D:$D,MATCH(B408,T2_GroupSKU!$A:$A,0))),"-")</f>
        <v>50</v>
      </c>
      <c r="I408" s="10" t="str">
        <f t="array" ref="I408">IFERROR(IF(INDEX(T2_GroupSKU!$E:$E,MATCH(B408,T2_GroupSKU!$A:$A,0))="","-",INDEX(T2_GroupSKU!$E:$E,MATCH(B408,T2_GroupSKU!$A:$A,0))),"-")</f>
        <v>LTR</v>
      </c>
      <c r="J408" s="10" t="str">
        <f>T3_SKU!C408</f>
        <v>Blue / 2.8 KG</v>
      </c>
      <c r="K408" s="10" t="str">
        <f>T3_SKU!D408</f>
        <v>50 LTR BLUE RKT 2.8 KG</v>
      </c>
      <c r="L408" s="10" t="str">
        <f>T3_SKU!E408</f>
        <v>NOS</v>
      </c>
      <c r="M408" s="10" t="str">
        <f>T3_SKU!F408</f>
        <v>39233090</v>
      </c>
    </row>
    <row r="409" ht="15.0" customHeight="1">
      <c r="A409" s="10" t="str">
        <f>T3_SKU!A409</f>
        <v>RKT-50-BLU-30KG</v>
      </c>
      <c r="B409" s="10" t="str">
        <f>T3_SKU!B409</f>
        <v>RKT-50</v>
      </c>
      <c r="C409" s="10" t="str">
        <f t="array" ref="C409">IFERROR(INDEX(T2_GroupSKU!$B:$B,MATCH(B409,T2_GroupSKU!$A:$A,0)),"")</f>
        <v>Rocket Can - 50.0 LTR</v>
      </c>
      <c r="D409" s="10" t="str">
        <f t="array" ref="D409">IFERROR(INDEX(T1_ProductType!$B:$B,MATCH(INDEX(T2_GroupSKU!$C:$C,MATCH(B409,T2_GroupSKU!$A:$A,0)),T1_ProductType!$A:$A,0)),"")</f>
        <v>Rocket Can</v>
      </c>
      <c r="E409" s="10" t="str">
        <f t="array" ref="E409">IFERROR(INDEX(T1_ProductType!$C:$C,MATCH(INDEX(T2_GroupSKU!$C:$C,MATCH(B409,T2_GroupSKU!$A:$A,0)),T1_ProductType!$A:$A,0)),"")</f>
        <v>Can</v>
      </c>
      <c r="F409" s="10" t="str">
        <f t="array" ref="F409">IFERROR(INDEX(T1_ProductType!$D:$D,MATCH(INDEX(T2_GroupSKU!$C:$C,MATCH(B409,T2_GroupSKU!$A:$A,0)),T1_ProductType!$A:$A,0)),"")</f>
        <v>Plastic Barrels</v>
      </c>
      <c r="G409" s="10" t="str">
        <f t="array" ref="G409">IFERROR(IF(INDEX(T1_ProductType!$E:$E,MATCH(INDEX(T2_GroupSKU!$C:$C,MATCH(B409,T2_GroupSKU!$A:$A,0)),T1_ProductType!$A:$A,0))="","-",INDEX(T1_ProductType!$E:$E,MATCH(INDEX(T2_GroupSKU!$C:$C,MATCH(B409,T2_GroupSKU!$A:$A,0)),T1_ProductType!$A:$A,0))),"-")</f>
        <v>Rocket Can</v>
      </c>
      <c r="H409" s="10">
        <f t="array" ref="H409">IFERROR(IF(INDEX(T2_GroupSKU!$D:$D,MATCH(B409,T2_GroupSKU!$A:$A,0))="","-",INDEX(T2_GroupSKU!$D:$D,MATCH(B409,T2_GroupSKU!$A:$A,0))),"-")</f>
        <v>50</v>
      </c>
      <c r="I409" s="10" t="str">
        <f t="array" ref="I409">IFERROR(IF(INDEX(T2_GroupSKU!$E:$E,MATCH(B409,T2_GroupSKU!$A:$A,0))="","-",INDEX(T2_GroupSKU!$E:$E,MATCH(B409,T2_GroupSKU!$A:$A,0))),"-")</f>
        <v>LTR</v>
      </c>
      <c r="J409" s="10" t="str">
        <f>T3_SKU!C409</f>
        <v>Blue / 3.0 KG</v>
      </c>
      <c r="K409" s="10" t="str">
        <f>T3_SKU!D409</f>
        <v>50 LTR BLUE RKT 3.0 KG</v>
      </c>
      <c r="L409" s="10" t="str">
        <f>T3_SKU!E409</f>
        <v>NOS</v>
      </c>
      <c r="M409" s="10" t="str">
        <f>T3_SKU!F409</f>
        <v>39233090</v>
      </c>
    </row>
    <row r="410" ht="15.0" customHeight="1">
      <c r="A410" s="10" t="str">
        <f>T3_SKU!A410</f>
        <v>SECFL-BLU</v>
      </c>
      <c r="B410" s="10" t="str">
        <f>T3_SKU!B410</f>
        <v>SECFL</v>
      </c>
      <c r="C410" s="10" t="str">
        <f t="array" ref="C410">IFERROR(INDEX(T2_GroupSKU!$B:$B,MATCH(B410,T2_GroupSKU!$A:$A,0)),"")</f>
        <v>Security Flap</v>
      </c>
      <c r="D410" s="10" t="str">
        <f t="array" ref="D410">IFERROR(INDEX(T1_ProductType!$B:$B,MATCH(INDEX(T2_GroupSKU!$C:$C,MATCH(B410,T2_GroupSKU!$A:$A,0)),T1_ProductType!$A:$A,0)),"")</f>
        <v>Security Flap</v>
      </c>
      <c r="E410" s="10" t="str">
        <f t="array" ref="E410">IFERROR(INDEX(T1_ProductType!$C:$C,MATCH(INDEX(T2_GroupSKU!$C:$C,MATCH(B410,T2_GroupSKU!$A:$A,0)),T1_ProductType!$A:$A,0)),"")</f>
        <v>Accessory</v>
      </c>
      <c r="F410" s="10" t="str">
        <f t="array" ref="F410">IFERROR(INDEX(T1_ProductType!$D:$D,MATCH(INDEX(T2_GroupSKU!$C:$C,MATCH(B410,T2_GroupSKU!$A:$A,0)),T1_ProductType!$A:$A,0)),"")</f>
        <v>Plastic Barrels</v>
      </c>
      <c r="G410" s="10" t="str">
        <f t="array" ref="G410">IFERROR(IF(INDEX(T1_ProductType!$E:$E,MATCH(INDEX(T2_GroupSKU!$C:$C,MATCH(B410,T2_GroupSKU!$A:$A,0)),T1_ProductType!$A:$A,0))="","-",INDEX(T1_ProductType!$E:$E,MATCH(INDEX(T2_GroupSKU!$C:$C,MATCH(B410,T2_GroupSKU!$A:$A,0)),T1_ProductType!$A:$A,0))),"-")</f>
        <v>-</v>
      </c>
      <c r="H410" s="10" t="str">
        <f t="array" ref="H410">IFERROR(IF(INDEX(T2_GroupSKU!$D:$D,MATCH(B410,T2_GroupSKU!$A:$A,0))="","-",INDEX(T2_GroupSKU!$D:$D,MATCH(B410,T2_GroupSKU!$A:$A,0))),"-")</f>
        <v>-</v>
      </c>
      <c r="I410" s="10" t="str">
        <f t="array" ref="I410">IFERROR(IF(INDEX(T2_GroupSKU!$E:$E,MATCH(B410,T2_GroupSKU!$A:$A,0))="","-",INDEX(T2_GroupSKU!$E:$E,MATCH(B410,T2_GroupSKU!$A:$A,0))),"-")</f>
        <v>-</v>
      </c>
      <c r="J410" s="10" t="str">
        <f>T3_SKU!C410</f>
        <v>Blue</v>
      </c>
      <c r="K410" s="10" t="str">
        <f>T3_SKU!D410</f>
        <v>SECURITY FLAP BLUE</v>
      </c>
      <c r="L410" s="10" t="str">
        <f>T3_SKU!E410</f>
        <v>NOS</v>
      </c>
      <c r="M410" s="10" t="str">
        <f>T3_SKU!F410</f>
        <v>39235010</v>
      </c>
    </row>
    <row r="411" ht="15.0" customHeight="1">
      <c r="A411" s="10" t="str">
        <f>T3_SKU!A411</f>
        <v>SECFL-V423</v>
      </c>
      <c r="B411" s="10" t="str">
        <f>T3_SKU!B411</f>
        <v>SECFL</v>
      </c>
      <c r="C411" s="10" t="str">
        <f t="array" ref="C411">IFERROR(INDEX(T2_GroupSKU!$B:$B,MATCH(B411,T2_GroupSKU!$A:$A,0)),"")</f>
        <v>Security Flap</v>
      </c>
      <c r="D411" s="10" t="str">
        <f t="array" ref="D411">IFERROR(INDEX(T1_ProductType!$B:$B,MATCH(INDEX(T2_GroupSKU!$C:$C,MATCH(B411,T2_GroupSKU!$A:$A,0)),T1_ProductType!$A:$A,0)),"")</f>
        <v>Security Flap</v>
      </c>
      <c r="E411" s="10" t="str">
        <f t="array" ref="E411">IFERROR(INDEX(T1_ProductType!$C:$C,MATCH(INDEX(T2_GroupSKU!$C:$C,MATCH(B411,T2_GroupSKU!$A:$A,0)),T1_ProductType!$A:$A,0)),"")</f>
        <v>Accessory</v>
      </c>
      <c r="F411" s="10" t="str">
        <f t="array" ref="F411">IFERROR(INDEX(T1_ProductType!$D:$D,MATCH(INDEX(T2_GroupSKU!$C:$C,MATCH(B411,T2_GroupSKU!$A:$A,0)),T1_ProductType!$A:$A,0)),"")</f>
        <v>Plastic Barrels</v>
      </c>
      <c r="G411" s="10" t="str">
        <f t="array" ref="G411">IFERROR(IF(INDEX(T1_ProductType!$E:$E,MATCH(INDEX(T2_GroupSKU!$C:$C,MATCH(B411,T2_GroupSKU!$A:$A,0)),T1_ProductType!$A:$A,0))="","-",INDEX(T1_ProductType!$E:$E,MATCH(INDEX(T2_GroupSKU!$C:$C,MATCH(B411,T2_GroupSKU!$A:$A,0)),T1_ProductType!$A:$A,0))),"-")</f>
        <v>-</v>
      </c>
      <c r="H411" s="10" t="str">
        <f t="array" ref="H411">IFERROR(IF(INDEX(T2_GroupSKU!$D:$D,MATCH(B411,T2_GroupSKU!$A:$A,0))="","-",INDEX(T2_GroupSKU!$D:$D,MATCH(B411,T2_GroupSKU!$A:$A,0))),"-")</f>
        <v>-</v>
      </c>
      <c r="I411" s="10" t="str">
        <f t="array" ref="I411">IFERROR(IF(INDEX(T2_GroupSKU!$E:$E,MATCH(B411,T2_GroupSKU!$A:$A,0))="","-",INDEX(T2_GroupSKU!$E:$E,MATCH(B411,T2_GroupSKU!$A:$A,0))),"-")</f>
        <v>-</v>
      </c>
      <c r="J411" s="10" t="str">
        <f>T3_SKU!C411</f>
        <v>SECURITY FLAP</v>
      </c>
      <c r="K411" s="10" t="str">
        <f>T3_SKU!D411</f>
        <v>SECURITY FLAP</v>
      </c>
      <c r="L411" s="10" t="str">
        <f>T3_SKU!E411</f>
        <v>NOS</v>
      </c>
      <c r="M411" s="10" t="str">
        <f>T3_SKU!F411</f>
        <v>39235010</v>
      </c>
    </row>
    <row r="412" ht="15.0" customHeight="1">
      <c r="A412" s="10" t="str">
        <f>T3_SKU!A412</f>
        <v>SPCR-V407</v>
      </c>
      <c r="B412" s="10" t="str">
        <f>T3_SKU!B412</f>
        <v>SPCR</v>
      </c>
      <c r="C412" s="10" t="str">
        <f t="array" ref="C412">IFERROR(INDEX(T2_GroupSKU!$B:$B,MATCH(B412,T2_GroupSKU!$A:$A,0)),"")</f>
        <v>Spacer</v>
      </c>
      <c r="D412" s="10" t="str">
        <f t="array" ref="D412">IFERROR(INDEX(T1_ProductType!$B:$B,MATCH(INDEX(T2_GroupSKU!$C:$C,MATCH(B412,T2_GroupSKU!$A:$A,0)),T1_ProductType!$A:$A,0)),"")</f>
        <v>Spacer</v>
      </c>
      <c r="E412" s="10" t="str">
        <f t="array" ref="E412">IFERROR(INDEX(T1_ProductType!$C:$C,MATCH(INDEX(T2_GroupSKU!$C:$C,MATCH(B412,T2_GroupSKU!$A:$A,0)),T1_ProductType!$A:$A,0)),"")</f>
        <v>Accessory</v>
      </c>
      <c r="F412" s="10" t="str">
        <f t="array" ref="F412">IFERROR(INDEX(T1_ProductType!$D:$D,MATCH(INDEX(T2_GroupSKU!$C:$C,MATCH(B412,T2_GroupSKU!$A:$A,0)),T1_ProductType!$A:$A,0)),"")</f>
        <v>Plastic Barrels</v>
      </c>
      <c r="G412" s="10" t="str">
        <f t="array" ref="G412">IFERROR(IF(INDEX(T1_ProductType!$E:$E,MATCH(INDEX(T2_GroupSKU!$C:$C,MATCH(B412,T2_GroupSKU!$A:$A,0)),T1_ProductType!$A:$A,0))="","-",INDEX(T1_ProductType!$E:$E,MATCH(INDEX(T2_GroupSKU!$C:$C,MATCH(B412,T2_GroupSKU!$A:$A,0)),T1_ProductType!$A:$A,0))),"-")</f>
        <v>-</v>
      </c>
      <c r="H412" s="10" t="str">
        <f t="array" ref="H412">IFERROR(IF(INDEX(T2_GroupSKU!$D:$D,MATCH(B412,T2_GroupSKU!$A:$A,0))="","-",INDEX(T2_GroupSKU!$D:$D,MATCH(B412,T2_GroupSKU!$A:$A,0))),"-")</f>
        <v>-</v>
      </c>
      <c r="I412" s="10" t="str">
        <f t="array" ref="I412">IFERROR(IF(INDEX(T2_GroupSKU!$E:$E,MATCH(B412,T2_GroupSKU!$A:$A,0))="","-",INDEX(T2_GroupSKU!$E:$E,MATCH(B412,T2_GroupSKU!$A:$A,0))),"-")</f>
        <v>-</v>
      </c>
      <c r="J412" s="10" t="str">
        <f>T3_SKU!C412</f>
        <v>BACK SPECER</v>
      </c>
      <c r="K412" s="10" t="str">
        <f>T3_SKU!D412</f>
        <v>BACK SPECER</v>
      </c>
      <c r="L412" s="10" t="str">
        <f>T3_SKU!E412</f>
        <v>NOS</v>
      </c>
      <c r="M412" s="10" t="str">
        <f>T3_SKU!F412</f>
        <v>39233090</v>
      </c>
    </row>
    <row r="413" ht="15.0" customHeight="1">
      <c r="A413" s="10" t="str">
        <f>T3_SKU!A413</f>
        <v>SPCR-V415</v>
      </c>
      <c r="B413" s="10" t="str">
        <f>T3_SKU!B413</f>
        <v>SPCR</v>
      </c>
      <c r="C413" s="10" t="str">
        <f t="array" ref="C413">IFERROR(INDEX(T2_GroupSKU!$B:$B,MATCH(B413,T2_GroupSKU!$A:$A,0)),"")</f>
        <v>Spacer</v>
      </c>
      <c r="D413" s="10" t="str">
        <f t="array" ref="D413">IFERROR(INDEX(T1_ProductType!$B:$B,MATCH(INDEX(T2_GroupSKU!$C:$C,MATCH(B413,T2_GroupSKU!$A:$A,0)),T1_ProductType!$A:$A,0)),"")</f>
        <v>Spacer</v>
      </c>
      <c r="E413" s="10" t="str">
        <f t="array" ref="E413">IFERROR(INDEX(T1_ProductType!$C:$C,MATCH(INDEX(T2_GroupSKU!$C:$C,MATCH(B413,T2_GroupSKU!$A:$A,0)),T1_ProductType!$A:$A,0)),"")</f>
        <v>Accessory</v>
      </c>
      <c r="F413" s="10" t="str">
        <f t="array" ref="F413">IFERROR(INDEX(T1_ProductType!$D:$D,MATCH(INDEX(T2_GroupSKU!$C:$C,MATCH(B413,T2_GroupSKU!$A:$A,0)),T1_ProductType!$A:$A,0)),"")</f>
        <v>Plastic Barrels</v>
      </c>
      <c r="G413" s="10" t="str">
        <f t="array" ref="G413">IFERROR(IF(INDEX(T1_ProductType!$E:$E,MATCH(INDEX(T2_GroupSKU!$C:$C,MATCH(B413,T2_GroupSKU!$A:$A,0)),T1_ProductType!$A:$A,0))="","-",INDEX(T1_ProductType!$E:$E,MATCH(INDEX(T2_GroupSKU!$C:$C,MATCH(B413,T2_GroupSKU!$A:$A,0)),T1_ProductType!$A:$A,0))),"-")</f>
        <v>-</v>
      </c>
      <c r="H413" s="10" t="str">
        <f t="array" ref="H413">IFERROR(IF(INDEX(T2_GroupSKU!$D:$D,MATCH(B413,T2_GroupSKU!$A:$A,0))="","-",INDEX(T2_GroupSKU!$D:$D,MATCH(B413,T2_GroupSKU!$A:$A,0))),"-")</f>
        <v>-</v>
      </c>
      <c r="I413" s="10" t="str">
        <f t="array" ref="I413">IFERROR(IF(INDEX(T2_GroupSKU!$E:$E,MATCH(B413,T2_GroupSKU!$A:$A,0))="","-",INDEX(T2_GroupSKU!$E:$E,MATCH(B413,T2_GroupSKU!$A:$A,0))),"-")</f>
        <v>-</v>
      </c>
      <c r="J413" s="10" t="str">
        <f>T3_SKU!C413</f>
        <v>CORNER SPACER</v>
      </c>
      <c r="K413" s="10" t="str">
        <f>T3_SKU!D413</f>
        <v>CORNER SPACER</v>
      </c>
      <c r="L413" s="10" t="str">
        <f>T3_SKU!E413</f>
        <v>NOS</v>
      </c>
      <c r="M413" s="10" t="str">
        <f>T3_SKU!F413</f>
        <v>39235010</v>
      </c>
    </row>
    <row r="414" ht="15.0" customHeight="1">
      <c r="A414" s="10" t="str">
        <f>T3_SKU!A414</f>
        <v>SPCR-V425</v>
      </c>
      <c r="B414" s="10" t="str">
        <f>T3_SKU!B414</f>
        <v>SPCR</v>
      </c>
      <c r="C414" s="10" t="str">
        <f t="array" ref="C414">IFERROR(INDEX(T2_GroupSKU!$B:$B,MATCH(B414,T2_GroupSKU!$A:$A,0)),"")</f>
        <v>Spacer</v>
      </c>
      <c r="D414" s="10" t="str">
        <f t="array" ref="D414">IFERROR(INDEX(T1_ProductType!$B:$B,MATCH(INDEX(T2_GroupSKU!$C:$C,MATCH(B414,T2_GroupSKU!$A:$A,0)),T1_ProductType!$A:$A,0)),"")</f>
        <v>Spacer</v>
      </c>
      <c r="E414" s="10" t="str">
        <f t="array" ref="E414">IFERROR(INDEX(T1_ProductType!$C:$C,MATCH(INDEX(T2_GroupSKU!$C:$C,MATCH(B414,T2_GroupSKU!$A:$A,0)),T1_ProductType!$A:$A,0)),"")</f>
        <v>Accessory</v>
      </c>
      <c r="F414" s="10" t="str">
        <f t="array" ref="F414">IFERROR(INDEX(T1_ProductType!$D:$D,MATCH(INDEX(T2_GroupSKU!$C:$C,MATCH(B414,T2_GroupSKU!$A:$A,0)),T1_ProductType!$A:$A,0)),"")</f>
        <v>Plastic Barrels</v>
      </c>
      <c r="G414" s="10" t="str">
        <f t="array" ref="G414">IFERROR(IF(INDEX(T1_ProductType!$E:$E,MATCH(INDEX(T2_GroupSKU!$C:$C,MATCH(B414,T2_GroupSKU!$A:$A,0)),T1_ProductType!$A:$A,0))="","-",INDEX(T1_ProductType!$E:$E,MATCH(INDEX(T2_GroupSKU!$C:$C,MATCH(B414,T2_GroupSKU!$A:$A,0)),T1_ProductType!$A:$A,0))),"-")</f>
        <v>-</v>
      </c>
      <c r="H414" s="10" t="str">
        <f t="array" ref="H414">IFERROR(IF(INDEX(T2_GroupSKU!$D:$D,MATCH(B414,T2_GroupSKU!$A:$A,0))="","-",INDEX(T2_GroupSKU!$D:$D,MATCH(B414,T2_GroupSKU!$A:$A,0))),"-")</f>
        <v>-</v>
      </c>
      <c r="I414" s="10" t="str">
        <f t="array" ref="I414">IFERROR(IF(INDEX(T2_GroupSKU!$E:$E,MATCH(B414,T2_GroupSKU!$A:$A,0))="","-",INDEX(T2_GroupSKU!$E:$E,MATCH(B414,T2_GroupSKU!$A:$A,0))),"-")</f>
        <v>-</v>
      </c>
      <c r="J414" s="10" t="str">
        <f>T3_SKU!C414</f>
        <v>SIDE SPACER</v>
      </c>
      <c r="K414" s="10" t="str">
        <f>T3_SKU!D414</f>
        <v>SIDE SPACER</v>
      </c>
      <c r="L414" s="10" t="str">
        <f>T3_SKU!E414</f>
        <v>NOS</v>
      </c>
      <c r="M414" s="10" t="str">
        <f>T3_SKU!F414</f>
        <v>               </v>
      </c>
    </row>
    <row r="415" ht="15.0" customHeight="1">
      <c r="A415" s="10" t="str">
        <f>T3_SKU!A415</f>
        <v>SPGSK-V440</v>
      </c>
      <c r="B415" s="10" t="str">
        <f>T3_SKU!B415</f>
        <v>SPGSK</v>
      </c>
      <c r="C415" s="10" t="str">
        <f t="array" ref="C415">IFERROR(INDEX(T2_GroupSKU!$B:$B,MATCH(B415,T2_GroupSKU!$A:$A,0)),"")</f>
        <v>Sponge Gasket</v>
      </c>
      <c r="D415" s="10" t="str">
        <f t="array" ref="D415">IFERROR(INDEX(T1_ProductType!$B:$B,MATCH(INDEX(T2_GroupSKU!$C:$C,MATCH(B415,T2_GroupSKU!$A:$A,0)),T1_ProductType!$A:$A,0)),"")</f>
        <v>Sponge Gasket</v>
      </c>
      <c r="E415" s="10" t="str">
        <f t="array" ref="E415">IFERROR(INDEX(T1_ProductType!$C:$C,MATCH(INDEX(T2_GroupSKU!$C:$C,MATCH(B415,T2_GroupSKU!$A:$A,0)),T1_ProductType!$A:$A,0)),"")</f>
        <v>Accessory</v>
      </c>
      <c r="F415" s="10" t="str">
        <f t="array" ref="F415">IFERROR(INDEX(T1_ProductType!$D:$D,MATCH(INDEX(T2_GroupSKU!$C:$C,MATCH(B415,T2_GroupSKU!$A:$A,0)),T1_ProductType!$A:$A,0)),"")</f>
        <v>Plastic Barrels</v>
      </c>
      <c r="G415" s="10" t="str">
        <f t="array" ref="G415">IFERROR(IF(INDEX(T1_ProductType!$E:$E,MATCH(INDEX(T2_GroupSKU!$C:$C,MATCH(B415,T2_GroupSKU!$A:$A,0)),T1_ProductType!$A:$A,0))="","-",INDEX(T1_ProductType!$E:$E,MATCH(INDEX(T2_GroupSKU!$C:$C,MATCH(B415,T2_GroupSKU!$A:$A,0)),T1_ProductType!$A:$A,0))),"-")</f>
        <v>-</v>
      </c>
      <c r="H415" s="10" t="str">
        <f t="array" ref="H415">IFERROR(IF(INDEX(T2_GroupSKU!$D:$D,MATCH(B415,T2_GroupSKU!$A:$A,0))="","-",INDEX(T2_GroupSKU!$D:$D,MATCH(B415,T2_GroupSKU!$A:$A,0))),"-")</f>
        <v>-</v>
      </c>
      <c r="I415" s="10" t="str">
        <f t="array" ref="I415">IFERROR(IF(INDEX(T2_GroupSKU!$E:$E,MATCH(B415,T2_GroupSKU!$A:$A,0))="","-",INDEX(T2_GroupSKU!$E:$E,MATCH(B415,T2_GroupSKU!$A:$A,0))),"-")</f>
        <v>-</v>
      </c>
      <c r="J415" s="10" t="str">
        <f>T3_SKU!C415</f>
        <v>SPONGE GASKET 11.5 MM</v>
      </c>
      <c r="K415" s="10" t="str">
        <f>T3_SKU!D415</f>
        <v>SPONGE GASKET 11.5 MM</v>
      </c>
      <c r="L415" s="10" t="str">
        <f>T3_SKU!E415</f>
        <v>NOS</v>
      </c>
      <c r="M415" s="10" t="str">
        <f>T3_SKU!F415</f>
        <v>39235010</v>
      </c>
    </row>
    <row r="416" ht="15.0" customHeight="1">
      <c r="A416" s="10" t="str">
        <f>T3_SKU!A416</f>
        <v>SPGSK-V441</v>
      </c>
      <c r="B416" s="10" t="str">
        <f>T3_SKU!B416</f>
        <v>SPGSK</v>
      </c>
      <c r="C416" s="10" t="str">
        <f t="array" ref="C416">IFERROR(INDEX(T2_GroupSKU!$B:$B,MATCH(B416,T2_GroupSKU!$A:$A,0)),"")</f>
        <v>Sponge Gasket</v>
      </c>
      <c r="D416" s="10" t="str">
        <f t="array" ref="D416">IFERROR(INDEX(T1_ProductType!$B:$B,MATCH(INDEX(T2_GroupSKU!$C:$C,MATCH(B416,T2_GroupSKU!$A:$A,0)),T1_ProductType!$A:$A,0)),"")</f>
        <v>Sponge Gasket</v>
      </c>
      <c r="E416" s="10" t="str">
        <f t="array" ref="E416">IFERROR(INDEX(T1_ProductType!$C:$C,MATCH(INDEX(T2_GroupSKU!$C:$C,MATCH(B416,T2_GroupSKU!$A:$A,0)),T1_ProductType!$A:$A,0)),"")</f>
        <v>Accessory</v>
      </c>
      <c r="F416" s="10" t="str">
        <f t="array" ref="F416">IFERROR(INDEX(T1_ProductType!$D:$D,MATCH(INDEX(T2_GroupSKU!$C:$C,MATCH(B416,T2_GroupSKU!$A:$A,0)),T1_ProductType!$A:$A,0)),"")</f>
        <v>Plastic Barrels</v>
      </c>
      <c r="G416" s="10" t="str">
        <f t="array" ref="G416">IFERROR(IF(INDEX(T1_ProductType!$E:$E,MATCH(INDEX(T2_GroupSKU!$C:$C,MATCH(B416,T2_GroupSKU!$A:$A,0)),T1_ProductType!$A:$A,0))="","-",INDEX(T1_ProductType!$E:$E,MATCH(INDEX(T2_GroupSKU!$C:$C,MATCH(B416,T2_GroupSKU!$A:$A,0)),T1_ProductType!$A:$A,0))),"-")</f>
        <v>-</v>
      </c>
      <c r="H416" s="10" t="str">
        <f t="array" ref="H416">IFERROR(IF(INDEX(T2_GroupSKU!$D:$D,MATCH(B416,T2_GroupSKU!$A:$A,0))="","-",INDEX(T2_GroupSKU!$D:$D,MATCH(B416,T2_GroupSKU!$A:$A,0))),"-")</f>
        <v>-</v>
      </c>
      <c r="I416" s="10" t="str">
        <f t="array" ref="I416">IFERROR(IF(INDEX(T2_GroupSKU!$E:$E,MATCH(B416,T2_GroupSKU!$A:$A,0))="","-",INDEX(T2_GroupSKU!$E:$E,MATCH(B416,T2_GroupSKU!$A:$A,0))),"-")</f>
        <v>-</v>
      </c>
      <c r="J416" s="10" t="str">
        <f>T3_SKU!C416</f>
        <v>SPONGE GASKET 13.5 MM</v>
      </c>
      <c r="K416" s="10" t="str">
        <f>T3_SKU!D416</f>
        <v>SPONGE GASKET 13.5 MM</v>
      </c>
      <c r="L416" s="10" t="str">
        <f>T3_SKU!E416</f>
        <v>NOS</v>
      </c>
      <c r="M416" s="10" t="str">
        <f>T3_SKU!F416</f>
        <v>39235010</v>
      </c>
    </row>
    <row r="417" ht="15.0" customHeight="1">
      <c r="A417" s="10" t="str">
        <f>T3_SKU!A417</f>
        <v>TSCAP-V446</v>
      </c>
      <c r="B417" s="10" t="str">
        <f>T3_SKU!B417</f>
        <v>TSCAP</v>
      </c>
      <c r="C417" s="10" t="str">
        <f t="array" ref="C417">IFERROR(INDEX(T2_GroupSKU!$B:$B,MATCH(B417,T2_GroupSKU!$A:$A,0)),"")</f>
        <v>Top Seal Cap</v>
      </c>
      <c r="D417" s="10" t="str">
        <f t="array" ref="D417">IFERROR(INDEX(T1_ProductType!$B:$B,MATCH(INDEX(T2_GroupSKU!$C:$C,MATCH(B417,T2_GroupSKU!$A:$A,0)),T1_ProductType!$A:$A,0)),"")</f>
        <v>Top Seal Cap</v>
      </c>
      <c r="E417" s="10" t="str">
        <f t="array" ref="E417">IFERROR(INDEX(T1_ProductType!$C:$C,MATCH(INDEX(T2_GroupSKU!$C:$C,MATCH(B417,T2_GroupSKU!$A:$A,0)),T1_ProductType!$A:$A,0)),"")</f>
        <v>Accessory</v>
      </c>
      <c r="F417" s="10" t="str">
        <f t="array" ref="F417">IFERROR(INDEX(T1_ProductType!$D:$D,MATCH(INDEX(T2_GroupSKU!$C:$C,MATCH(B417,T2_GroupSKU!$A:$A,0)),T1_ProductType!$A:$A,0)),"")</f>
        <v>Plastic Barrels</v>
      </c>
      <c r="G417" s="10" t="str">
        <f t="array" ref="G417">IFERROR(IF(INDEX(T1_ProductType!$E:$E,MATCH(INDEX(T2_GroupSKU!$C:$C,MATCH(B417,T2_GroupSKU!$A:$A,0)),T1_ProductType!$A:$A,0))="","-",INDEX(T1_ProductType!$E:$E,MATCH(INDEX(T2_GroupSKU!$C:$C,MATCH(B417,T2_GroupSKU!$A:$A,0)),T1_ProductType!$A:$A,0))),"-")</f>
        <v>-</v>
      </c>
      <c r="H417" s="10" t="str">
        <f t="array" ref="H417">IFERROR(IF(INDEX(T2_GroupSKU!$D:$D,MATCH(B417,T2_GroupSKU!$A:$A,0))="","-",INDEX(T2_GroupSKU!$D:$D,MATCH(B417,T2_GroupSKU!$A:$A,0))),"-")</f>
        <v>-</v>
      </c>
      <c r="I417" s="10" t="str">
        <f t="array" ref="I417">IFERROR(IF(INDEX(T2_GroupSKU!$E:$E,MATCH(B417,T2_GroupSKU!$A:$A,0))="","-",INDEX(T2_GroupSKU!$E:$E,MATCH(B417,T2_GroupSKU!$A:$A,0))),"-")</f>
        <v>-</v>
      </c>
      <c r="J417" s="10" t="str">
        <f>T3_SKU!C417</f>
        <v>TOP SEAL CAP</v>
      </c>
      <c r="K417" s="10" t="str">
        <f>T3_SKU!D417</f>
        <v>TOP SEAL CAP</v>
      </c>
      <c r="L417" s="10" t="str">
        <f>T3_SKU!E417</f>
        <v/>
      </c>
      <c r="M417" s="10" t="str">
        <f>T3_SKU!F417</f>
        <v/>
      </c>
    </row>
    <row r="418" ht="15.0" customHeight="1">
      <c r="A418" s="10" t="str">
        <f>T3_SKU!A418</f>
        <v>VENT-V432</v>
      </c>
      <c r="B418" s="10" t="str">
        <f>T3_SKU!B418</f>
        <v>VENT</v>
      </c>
      <c r="C418" s="10" t="str">
        <f t="array" ref="C418">IFERROR(INDEX(T2_GroupSKU!$B:$B,MATCH(B418,T2_GroupSKU!$A:$A,0)),"")</f>
        <v>Vent Fitting</v>
      </c>
      <c r="D418" s="10" t="str">
        <f t="array" ref="D418">IFERROR(INDEX(T1_ProductType!$B:$B,MATCH(INDEX(T2_GroupSKU!$C:$C,MATCH(B418,T2_GroupSKU!$A:$A,0)),T1_ProductType!$A:$A,0)),"")</f>
        <v>Vent Fitting</v>
      </c>
      <c r="E418" s="10" t="str">
        <f t="array" ref="E418">IFERROR(INDEX(T1_ProductType!$C:$C,MATCH(INDEX(T2_GroupSKU!$C:$C,MATCH(B418,T2_GroupSKU!$A:$A,0)),T1_ProductType!$A:$A,0)),"")</f>
        <v>Accessory</v>
      </c>
      <c r="F418" s="10" t="str">
        <f t="array" ref="F418">IFERROR(INDEX(T1_ProductType!$D:$D,MATCH(INDEX(T2_GroupSKU!$C:$C,MATCH(B418,T2_GroupSKU!$A:$A,0)),T1_ProductType!$A:$A,0)),"")</f>
        <v>Plastic Barrels</v>
      </c>
      <c r="G418" s="10" t="str">
        <f t="array" ref="G418">IFERROR(IF(INDEX(T1_ProductType!$E:$E,MATCH(INDEX(T2_GroupSKU!$C:$C,MATCH(B418,T2_GroupSKU!$A:$A,0)),T1_ProductType!$A:$A,0))="","-",INDEX(T1_ProductType!$E:$E,MATCH(INDEX(T2_GroupSKU!$C:$C,MATCH(B418,T2_GroupSKU!$A:$A,0)),T1_ProductType!$A:$A,0))),"-")</f>
        <v>-</v>
      </c>
      <c r="H418" s="10" t="str">
        <f t="array" ref="H418">IFERROR(IF(INDEX(T2_GroupSKU!$D:$D,MATCH(B418,T2_GroupSKU!$A:$A,0))="","-",INDEX(T2_GroupSKU!$D:$D,MATCH(B418,T2_GroupSKU!$A:$A,0))),"-")</f>
        <v>-</v>
      </c>
      <c r="I418" s="10" t="str">
        <f t="array" ref="I418">IFERROR(IF(INDEX(T2_GroupSKU!$E:$E,MATCH(B418,T2_GroupSKU!$A:$A,0))="","-",INDEX(T2_GroupSKU!$E:$E,MATCH(B418,T2_GroupSKU!$A:$A,0))),"-")</f>
        <v>-</v>
      </c>
      <c r="J418" s="10" t="str">
        <f>T3_SKU!C418</f>
        <v>PACKAGING VENT BUSH</v>
      </c>
      <c r="K418" s="10" t="str">
        <f>T3_SKU!D418</f>
        <v>PACKAGING VENT BUSH</v>
      </c>
      <c r="L418" s="10" t="str">
        <f>T3_SKU!E418</f>
        <v>nos</v>
      </c>
      <c r="M418" s="10" t="str">
        <f>T3_SKU!F418</f>
        <v>3923</v>
      </c>
    </row>
    <row r="419" ht="15.0" customHeight="1">
      <c r="A419" s="10" t="str">
        <f>T3_SKU!A419</f>
        <v>VENT-V433</v>
      </c>
      <c r="B419" s="10" t="str">
        <f>T3_SKU!B419</f>
        <v>VENT</v>
      </c>
      <c r="C419" s="10" t="str">
        <f t="array" ref="C419">IFERROR(INDEX(T2_GroupSKU!$B:$B,MATCH(B419,T2_GroupSKU!$A:$A,0)),"")</f>
        <v>Vent Fitting</v>
      </c>
      <c r="D419" s="10" t="str">
        <f t="array" ref="D419">IFERROR(INDEX(T1_ProductType!$B:$B,MATCH(INDEX(T2_GroupSKU!$C:$C,MATCH(B419,T2_GroupSKU!$A:$A,0)),T1_ProductType!$A:$A,0)),"")</f>
        <v>Vent Fitting</v>
      </c>
      <c r="E419" s="10" t="str">
        <f t="array" ref="E419">IFERROR(INDEX(T1_ProductType!$C:$C,MATCH(INDEX(T2_GroupSKU!$C:$C,MATCH(B419,T2_GroupSKU!$A:$A,0)),T1_ProductType!$A:$A,0)),"")</f>
        <v>Accessory</v>
      </c>
      <c r="F419" s="10" t="str">
        <f t="array" ref="F419">IFERROR(INDEX(T1_ProductType!$D:$D,MATCH(INDEX(T2_GroupSKU!$C:$C,MATCH(B419,T2_GroupSKU!$A:$A,0)),T1_ProductType!$A:$A,0)),"")</f>
        <v>Plastic Barrels</v>
      </c>
      <c r="G419" s="10" t="str">
        <f t="array" ref="G419">IFERROR(IF(INDEX(T1_ProductType!$E:$E,MATCH(INDEX(T2_GroupSKU!$C:$C,MATCH(B419,T2_GroupSKU!$A:$A,0)),T1_ProductType!$A:$A,0))="","-",INDEX(T1_ProductType!$E:$E,MATCH(INDEX(T2_GroupSKU!$C:$C,MATCH(B419,T2_GroupSKU!$A:$A,0)),T1_ProductType!$A:$A,0))),"-")</f>
        <v>-</v>
      </c>
      <c r="H419" s="10" t="str">
        <f t="array" ref="H419">IFERROR(IF(INDEX(T2_GroupSKU!$D:$D,MATCH(B419,T2_GroupSKU!$A:$A,0))="","-",INDEX(T2_GroupSKU!$D:$D,MATCH(B419,T2_GroupSKU!$A:$A,0))),"-")</f>
        <v>-</v>
      </c>
      <c r="I419" s="10" t="str">
        <f t="array" ref="I419">IFERROR(IF(INDEX(T2_GroupSKU!$E:$E,MATCH(B419,T2_GroupSKU!$A:$A,0))="","-",INDEX(T2_GroupSKU!$E:$E,MATCH(B419,T2_GroupSKU!$A:$A,0))),"-")</f>
        <v>-</v>
      </c>
      <c r="J419" s="10" t="str">
        <f>T3_SKU!C419</f>
        <v>PACKAGING VENT PLUG - D15</v>
      </c>
      <c r="K419" s="10" t="str">
        <f>T3_SKU!D419</f>
        <v>PACKAGING VENT PLUG - D15</v>
      </c>
      <c r="L419" s="10" t="str">
        <f>T3_SKU!E419</f>
        <v>NOS</v>
      </c>
      <c r="M419" s="10" t="str">
        <f>T3_SKU!F419</f>
        <v>39235010</v>
      </c>
    </row>
    <row r="420" ht="15.0" customHeight="1">
      <c r="A420" s="10" t="str">
        <f>T3_SKU!A420</f>
        <v>WMD-100-BLU-45KG</v>
      </c>
      <c r="B420" s="10" t="str">
        <f>T3_SKU!B420</f>
        <v>WMD-100</v>
      </c>
      <c r="C420" s="10" t="str">
        <f t="array" ref="C420">IFERROR(INDEX(T2_GroupSKU!$B:$B,MATCH(B420,T2_GroupSKU!$A:$A,0)),"")</f>
        <v>Wide Mouth Drum - 100.0 LTR</v>
      </c>
      <c r="D420" s="10" t="str">
        <f t="array" ref="D420">IFERROR(INDEX(T1_ProductType!$B:$B,MATCH(INDEX(T2_GroupSKU!$C:$C,MATCH(B420,T2_GroupSKU!$A:$A,0)),T1_ProductType!$A:$A,0)),"")</f>
        <v>Wide Mouth Drum</v>
      </c>
      <c r="E420" s="10" t="str">
        <f t="array" ref="E420">IFERROR(INDEX(T1_ProductType!$C:$C,MATCH(INDEX(T2_GroupSKU!$C:$C,MATCH(B420,T2_GroupSKU!$A:$A,0)),T1_ProductType!$A:$A,0)),"")</f>
        <v>Drum</v>
      </c>
      <c r="F420" s="10" t="str">
        <f t="array" ref="F420">IFERROR(INDEX(T1_ProductType!$D:$D,MATCH(INDEX(T2_GroupSKU!$C:$C,MATCH(B420,T2_GroupSKU!$A:$A,0)),T1_ProductType!$A:$A,0)),"")</f>
        <v>Plastic Barrels</v>
      </c>
      <c r="G420" s="10" t="str">
        <f t="array" ref="G420">IFERROR(IF(INDEX(T1_ProductType!$E:$E,MATCH(INDEX(T2_GroupSKU!$C:$C,MATCH(B420,T2_GroupSKU!$A:$A,0)),T1_ProductType!$A:$A,0))="","-",INDEX(T1_ProductType!$E:$E,MATCH(INDEX(T2_GroupSKU!$C:$C,MATCH(B420,T2_GroupSKU!$A:$A,0)),T1_ProductType!$A:$A,0))),"-")</f>
        <v>Open Head Drum</v>
      </c>
      <c r="H420" s="10">
        <f t="array" ref="H420">IFERROR(IF(INDEX(T2_GroupSKU!$D:$D,MATCH(B420,T2_GroupSKU!$A:$A,0))="","-",INDEX(T2_GroupSKU!$D:$D,MATCH(B420,T2_GroupSKU!$A:$A,0))),"-")</f>
        <v>100</v>
      </c>
      <c r="I420" s="10" t="str">
        <f t="array" ref="I420">IFERROR(IF(INDEX(T2_GroupSKU!$E:$E,MATCH(B420,T2_GroupSKU!$A:$A,0))="","-",INDEX(T2_GroupSKU!$E:$E,MATCH(B420,T2_GroupSKU!$A:$A,0))),"-")</f>
        <v>LTR</v>
      </c>
      <c r="J420" s="10" t="str">
        <f>T3_SKU!C420</f>
        <v>Blue / 4.5 KG</v>
      </c>
      <c r="K420" s="10" t="str">
        <f>T3_SKU!D420</f>
        <v>100 LTR BLUE W/M 4.5 KG</v>
      </c>
      <c r="L420" s="10" t="str">
        <f>T3_SKU!E420</f>
        <v>NOS</v>
      </c>
      <c r="M420" s="10" t="str">
        <f>T3_SKU!F420</f>
        <v>39233090</v>
      </c>
    </row>
    <row r="421" ht="15.0" customHeight="1">
      <c r="A421" s="10" t="str">
        <f>T3_SKU!A421</f>
        <v>WMD-100-BLU-50KG</v>
      </c>
      <c r="B421" s="10" t="str">
        <f>T3_SKU!B421</f>
        <v>WMD-100</v>
      </c>
      <c r="C421" s="10" t="str">
        <f t="array" ref="C421">IFERROR(INDEX(T2_GroupSKU!$B:$B,MATCH(B421,T2_GroupSKU!$A:$A,0)),"")</f>
        <v>Wide Mouth Drum - 100.0 LTR</v>
      </c>
      <c r="D421" s="10" t="str">
        <f t="array" ref="D421">IFERROR(INDEX(T1_ProductType!$B:$B,MATCH(INDEX(T2_GroupSKU!$C:$C,MATCH(B421,T2_GroupSKU!$A:$A,0)),T1_ProductType!$A:$A,0)),"")</f>
        <v>Wide Mouth Drum</v>
      </c>
      <c r="E421" s="10" t="str">
        <f t="array" ref="E421">IFERROR(INDEX(T1_ProductType!$C:$C,MATCH(INDEX(T2_GroupSKU!$C:$C,MATCH(B421,T2_GroupSKU!$A:$A,0)),T1_ProductType!$A:$A,0)),"")</f>
        <v>Drum</v>
      </c>
      <c r="F421" s="10" t="str">
        <f t="array" ref="F421">IFERROR(INDEX(T1_ProductType!$D:$D,MATCH(INDEX(T2_GroupSKU!$C:$C,MATCH(B421,T2_GroupSKU!$A:$A,0)),T1_ProductType!$A:$A,0)),"")</f>
        <v>Plastic Barrels</v>
      </c>
      <c r="G421" s="10" t="str">
        <f t="array" ref="G421">IFERROR(IF(INDEX(T1_ProductType!$E:$E,MATCH(INDEX(T2_GroupSKU!$C:$C,MATCH(B421,T2_GroupSKU!$A:$A,0)),T1_ProductType!$A:$A,0))="","-",INDEX(T1_ProductType!$E:$E,MATCH(INDEX(T2_GroupSKU!$C:$C,MATCH(B421,T2_GroupSKU!$A:$A,0)),T1_ProductType!$A:$A,0))),"-")</f>
        <v>Open Head Drum</v>
      </c>
      <c r="H421" s="10">
        <f t="array" ref="H421">IFERROR(IF(INDEX(T2_GroupSKU!$D:$D,MATCH(B421,T2_GroupSKU!$A:$A,0))="","-",INDEX(T2_GroupSKU!$D:$D,MATCH(B421,T2_GroupSKU!$A:$A,0))),"-")</f>
        <v>100</v>
      </c>
      <c r="I421" s="10" t="str">
        <f t="array" ref="I421">IFERROR(IF(INDEX(T2_GroupSKU!$E:$E,MATCH(B421,T2_GroupSKU!$A:$A,0))="","-",INDEX(T2_GroupSKU!$E:$E,MATCH(B421,T2_GroupSKU!$A:$A,0))),"-")</f>
        <v>LTR</v>
      </c>
      <c r="J421" s="10" t="str">
        <f>T3_SKU!C421</f>
        <v>Blue / 5.0 KG</v>
      </c>
      <c r="K421" s="10" t="str">
        <f>T3_SKU!D421</f>
        <v>100 LTR BLUE W/M 5.0 KG</v>
      </c>
      <c r="L421" s="10" t="str">
        <f>T3_SKU!E421</f>
        <v>NOS</v>
      </c>
      <c r="M421" s="10" t="str">
        <f>T3_SKU!F421</f>
        <v>39233090</v>
      </c>
    </row>
    <row r="422" ht="15.0" customHeight="1">
      <c r="A422" s="10" t="str">
        <f>T3_SKU!A422</f>
        <v>WMD-100-BLU-60KG</v>
      </c>
      <c r="B422" s="10" t="str">
        <f>T3_SKU!B422</f>
        <v>WMD-100</v>
      </c>
      <c r="C422" s="10" t="str">
        <f t="array" ref="C422">IFERROR(INDEX(T2_GroupSKU!$B:$B,MATCH(B422,T2_GroupSKU!$A:$A,0)),"")</f>
        <v>Wide Mouth Drum - 100.0 LTR</v>
      </c>
      <c r="D422" s="10" t="str">
        <f t="array" ref="D422">IFERROR(INDEX(T1_ProductType!$B:$B,MATCH(INDEX(T2_GroupSKU!$C:$C,MATCH(B422,T2_GroupSKU!$A:$A,0)),T1_ProductType!$A:$A,0)),"")</f>
        <v>Wide Mouth Drum</v>
      </c>
      <c r="E422" s="10" t="str">
        <f t="array" ref="E422">IFERROR(INDEX(T1_ProductType!$C:$C,MATCH(INDEX(T2_GroupSKU!$C:$C,MATCH(B422,T2_GroupSKU!$A:$A,0)),T1_ProductType!$A:$A,0)),"")</f>
        <v>Drum</v>
      </c>
      <c r="F422" s="10" t="str">
        <f t="array" ref="F422">IFERROR(INDEX(T1_ProductType!$D:$D,MATCH(INDEX(T2_GroupSKU!$C:$C,MATCH(B422,T2_GroupSKU!$A:$A,0)),T1_ProductType!$A:$A,0)),"")</f>
        <v>Plastic Barrels</v>
      </c>
      <c r="G422" s="10" t="str">
        <f t="array" ref="G422">IFERROR(IF(INDEX(T1_ProductType!$E:$E,MATCH(INDEX(T2_GroupSKU!$C:$C,MATCH(B422,T2_GroupSKU!$A:$A,0)),T1_ProductType!$A:$A,0))="","-",INDEX(T1_ProductType!$E:$E,MATCH(INDEX(T2_GroupSKU!$C:$C,MATCH(B422,T2_GroupSKU!$A:$A,0)),T1_ProductType!$A:$A,0))),"-")</f>
        <v>Open Head Drum</v>
      </c>
      <c r="H422" s="10">
        <f t="array" ref="H422">IFERROR(IF(INDEX(T2_GroupSKU!$D:$D,MATCH(B422,T2_GroupSKU!$A:$A,0))="","-",INDEX(T2_GroupSKU!$D:$D,MATCH(B422,T2_GroupSKU!$A:$A,0))),"-")</f>
        <v>100</v>
      </c>
      <c r="I422" s="10" t="str">
        <f t="array" ref="I422">IFERROR(IF(INDEX(T2_GroupSKU!$E:$E,MATCH(B422,T2_GroupSKU!$A:$A,0))="","-",INDEX(T2_GroupSKU!$E:$E,MATCH(B422,T2_GroupSKU!$A:$A,0))),"-")</f>
        <v>LTR</v>
      </c>
      <c r="J422" s="10" t="str">
        <f>T3_SKU!C422</f>
        <v>Blue / 6.0 KG</v>
      </c>
      <c r="K422" s="10" t="str">
        <f>T3_SKU!D422</f>
        <v>100 LTR BLUE W/M 6.0 KG</v>
      </c>
      <c r="L422" s="10" t="str">
        <f>T3_SKU!E422</f>
        <v>NOS</v>
      </c>
      <c r="M422" s="10" t="str">
        <f>T3_SKU!F422</f>
        <v>39233090</v>
      </c>
    </row>
    <row r="423" ht="15.0" customHeight="1">
      <c r="A423" s="10" t="str">
        <f>T3_SKU!A423</f>
        <v>WMD-100-YEL-405KG</v>
      </c>
      <c r="B423" s="10" t="str">
        <f>T3_SKU!B423</f>
        <v>WMD-100</v>
      </c>
      <c r="C423" s="10" t="str">
        <f t="array" ref="C423">IFERROR(INDEX(T2_GroupSKU!$B:$B,MATCH(B423,T2_GroupSKU!$A:$A,0)),"")</f>
        <v>Wide Mouth Drum - 100.0 LTR</v>
      </c>
      <c r="D423" s="10" t="str">
        <f t="array" ref="D423">IFERROR(INDEX(T1_ProductType!$B:$B,MATCH(INDEX(T2_GroupSKU!$C:$C,MATCH(B423,T2_GroupSKU!$A:$A,0)),T1_ProductType!$A:$A,0)),"")</f>
        <v>Wide Mouth Drum</v>
      </c>
      <c r="E423" s="10" t="str">
        <f t="array" ref="E423">IFERROR(INDEX(T1_ProductType!$C:$C,MATCH(INDEX(T2_GroupSKU!$C:$C,MATCH(B423,T2_GroupSKU!$A:$A,0)),T1_ProductType!$A:$A,0)),"")</f>
        <v>Drum</v>
      </c>
      <c r="F423" s="10" t="str">
        <f t="array" ref="F423">IFERROR(INDEX(T1_ProductType!$D:$D,MATCH(INDEX(T2_GroupSKU!$C:$C,MATCH(B423,T2_GroupSKU!$A:$A,0)),T1_ProductType!$A:$A,0)),"")</f>
        <v>Plastic Barrels</v>
      </c>
      <c r="G423" s="10" t="str">
        <f t="array" ref="G423">IFERROR(IF(INDEX(T1_ProductType!$E:$E,MATCH(INDEX(T2_GroupSKU!$C:$C,MATCH(B423,T2_GroupSKU!$A:$A,0)),T1_ProductType!$A:$A,0))="","-",INDEX(T1_ProductType!$E:$E,MATCH(INDEX(T2_GroupSKU!$C:$C,MATCH(B423,T2_GroupSKU!$A:$A,0)),T1_ProductType!$A:$A,0))),"-")</f>
        <v>Open Head Drum</v>
      </c>
      <c r="H423" s="10">
        <f t="array" ref="H423">IFERROR(IF(INDEX(T2_GroupSKU!$D:$D,MATCH(B423,T2_GroupSKU!$A:$A,0))="","-",INDEX(T2_GroupSKU!$D:$D,MATCH(B423,T2_GroupSKU!$A:$A,0))),"-")</f>
        <v>100</v>
      </c>
      <c r="I423" s="10" t="str">
        <f t="array" ref="I423">IFERROR(IF(INDEX(T2_GroupSKU!$E:$E,MATCH(B423,T2_GroupSKU!$A:$A,0))="","-",INDEX(T2_GroupSKU!$E:$E,MATCH(B423,T2_GroupSKU!$A:$A,0))),"-")</f>
        <v>LTR</v>
      </c>
      <c r="J423" s="10" t="str">
        <f>T3_SKU!C423</f>
        <v>Yellow / 4.05 KG</v>
      </c>
      <c r="K423" s="10" t="str">
        <f>T3_SKU!D423</f>
        <v>100 LTR YELLOW W/M 4.05 KG</v>
      </c>
      <c r="L423" s="10" t="str">
        <f>T3_SKU!E423</f>
        <v>NOS</v>
      </c>
      <c r="M423" s="10" t="str">
        <f>T3_SKU!F423</f>
        <v>39233090</v>
      </c>
    </row>
    <row r="424" ht="15.0" customHeight="1">
      <c r="A424" s="10" t="str">
        <f>T3_SKU!A424</f>
        <v>WMD-100-YEL-455KG</v>
      </c>
      <c r="B424" s="10" t="str">
        <f>T3_SKU!B424</f>
        <v>WMD-100</v>
      </c>
      <c r="C424" s="10" t="str">
        <f t="array" ref="C424">IFERROR(INDEX(T2_GroupSKU!$B:$B,MATCH(B424,T2_GroupSKU!$A:$A,0)),"")</f>
        <v>Wide Mouth Drum - 100.0 LTR</v>
      </c>
      <c r="D424" s="10" t="str">
        <f t="array" ref="D424">IFERROR(INDEX(T1_ProductType!$B:$B,MATCH(INDEX(T2_GroupSKU!$C:$C,MATCH(B424,T2_GroupSKU!$A:$A,0)),T1_ProductType!$A:$A,0)),"")</f>
        <v>Wide Mouth Drum</v>
      </c>
      <c r="E424" s="10" t="str">
        <f t="array" ref="E424">IFERROR(INDEX(T1_ProductType!$C:$C,MATCH(INDEX(T2_GroupSKU!$C:$C,MATCH(B424,T2_GroupSKU!$A:$A,0)),T1_ProductType!$A:$A,0)),"")</f>
        <v>Drum</v>
      </c>
      <c r="F424" s="10" t="str">
        <f t="array" ref="F424">IFERROR(INDEX(T1_ProductType!$D:$D,MATCH(INDEX(T2_GroupSKU!$C:$C,MATCH(B424,T2_GroupSKU!$A:$A,0)),T1_ProductType!$A:$A,0)),"")</f>
        <v>Plastic Barrels</v>
      </c>
      <c r="G424" s="10" t="str">
        <f t="array" ref="G424">IFERROR(IF(INDEX(T1_ProductType!$E:$E,MATCH(INDEX(T2_GroupSKU!$C:$C,MATCH(B424,T2_GroupSKU!$A:$A,0)),T1_ProductType!$A:$A,0))="","-",INDEX(T1_ProductType!$E:$E,MATCH(INDEX(T2_GroupSKU!$C:$C,MATCH(B424,T2_GroupSKU!$A:$A,0)),T1_ProductType!$A:$A,0))),"-")</f>
        <v>Open Head Drum</v>
      </c>
      <c r="H424" s="10">
        <f t="array" ref="H424">IFERROR(IF(INDEX(T2_GroupSKU!$D:$D,MATCH(B424,T2_GroupSKU!$A:$A,0))="","-",INDEX(T2_GroupSKU!$D:$D,MATCH(B424,T2_GroupSKU!$A:$A,0))),"-")</f>
        <v>100</v>
      </c>
      <c r="I424" s="10" t="str">
        <f t="array" ref="I424">IFERROR(IF(INDEX(T2_GroupSKU!$E:$E,MATCH(B424,T2_GroupSKU!$A:$A,0))="","-",INDEX(T2_GroupSKU!$E:$E,MATCH(B424,T2_GroupSKU!$A:$A,0))),"-")</f>
        <v>LTR</v>
      </c>
      <c r="J424" s="10" t="str">
        <f>T3_SKU!C424</f>
        <v>Yellow / 4.55 KG</v>
      </c>
      <c r="K424" s="10" t="str">
        <f>T3_SKU!D424</f>
        <v>100 LTR YELLOW W/M  4.55 kg</v>
      </c>
      <c r="L424" s="10" t="str">
        <f>T3_SKU!E424</f>
        <v>NOS</v>
      </c>
      <c r="M424" s="10" t="str">
        <f>T3_SKU!F424</f>
        <v>39233090</v>
      </c>
    </row>
    <row r="425" ht="15.0" customHeight="1">
      <c r="A425" s="10" t="str">
        <f>T3_SKU!A425</f>
        <v>WMD-25-GRN-148KG</v>
      </c>
      <c r="B425" s="10" t="str">
        <f>T3_SKU!B425</f>
        <v>WMD-25</v>
      </c>
      <c r="C425" s="10" t="str">
        <f t="array" ref="C425">IFERROR(INDEX(T2_GroupSKU!$B:$B,MATCH(B425,T2_GroupSKU!$A:$A,0)),"")</f>
        <v>Wide Mouth Drum - 25.0 LTR</v>
      </c>
      <c r="D425" s="10" t="str">
        <f t="array" ref="D425">IFERROR(INDEX(T1_ProductType!$B:$B,MATCH(INDEX(T2_GroupSKU!$C:$C,MATCH(B425,T2_GroupSKU!$A:$A,0)),T1_ProductType!$A:$A,0)),"")</f>
        <v>Wide Mouth Drum</v>
      </c>
      <c r="E425" s="10" t="str">
        <f t="array" ref="E425">IFERROR(INDEX(T1_ProductType!$C:$C,MATCH(INDEX(T2_GroupSKU!$C:$C,MATCH(B425,T2_GroupSKU!$A:$A,0)),T1_ProductType!$A:$A,0)),"")</f>
        <v>Drum</v>
      </c>
      <c r="F425" s="10" t="str">
        <f t="array" ref="F425">IFERROR(INDEX(T1_ProductType!$D:$D,MATCH(INDEX(T2_GroupSKU!$C:$C,MATCH(B425,T2_GroupSKU!$A:$A,0)),T1_ProductType!$A:$A,0)),"")</f>
        <v>Plastic Barrels</v>
      </c>
      <c r="G425" s="10" t="str">
        <f t="array" ref="G425">IFERROR(IF(INDEX(T1_ProductType!$E:$E,MATCH(INDEX(T2_GroupSKU!$C:$C,MATCH(B425,T2_GroupSKU!$A:$A,0)),T1_ProductType!$A:$A,0))="","-",INDEX(T1_ProductType!$E:$E,MATCH(INDEX(T2_GroupSKU!$C:$C,MATCH(B425,T2_GroupSKU!$A:$A,0)),T1_ProductType!$A:$A,0))),"-")</f>
        <v>Open Head Drum</v>
      </c>
      <c r="H425" s="10">
        <f t="array" ref="H425">IFERROR(IF(INDEX(T2_GroupSKU!$D:$D,MATCH(B425,T2_GroupSKU!$A:$A,0))="","-",INDEX(T2_GroupSKU!$D:$D,MATCH(B425,T2_GroupSKU!$A:$A,0))),"-")</f>
        <v>25</v>
      </c>
      <c r="I425" s="10" t="str">
        <f t="array" ref="I425">IFERROR(IF(INDEX(T2_GroupSKU!$E:$E,MATCH(B425,T2_GroupSKU!$A:$A,0))="","-",INDEX(T2_GroupSKU!$E:$E,MATCH(B425,T2_GroupSKU!$A:$A,0))),"-")</f>
        <v>LTR</v>
      </c>
      <c r="J425" s="10" t="str">
        <f>T3_SKU!C425</f>
        <v>Green / 1.48 KG</v>
      </c>
      <c r="K425" s="10" t="str">
        <f>T3_SKU!D425</f>
        <v>25 LTR GREEN W/M 1.480 KG</v>
      </c>
      <c r="L425" s="10" t="str">
        <f>T3_SKU!E425</f>
        <v>NOS</v>
      </c>
      <c r="M425" s="10" t="str">
        <f>T3_SKU!F425</f>
        <v>39233090</v>
      </c>
    </row>
    <row r="426" ht="15.0" customHeight="1">
      <c r="A426" s="10" t="str">
        <f>T3_SKU!A426</f>
        <v>WMD-25-GRN-17KG</v>
      </c>
      <c r="B426" s="10" t="str">
        <f>T3_SKU!B426</f>
        <v>WMD-25</v>
      </c>
      <c r="C426" s="10" t="str">
        <f t="array" ref="C426">IFERROR(INDEX(T2_GroupSKU!$B:$B,MATCH(B426,T2_GroupSKU!$A:$A,0)),"")</f>
        <v>Wide Mouth Drum - 25.0 LTR</v>
      </c>
      <c r="D426" s="10" t="str">
        <f t="array" ref="D426">IFERROR(INDEX(T1_ProductType!$B:$B,MATCH(INDEX(T2_GroupSKU!$C:$C,MATCH(B426,T2_GroupSKU!$A:$A,0)),T1_ProductType!$A:$A,0)),"")</f>
        <v>Wide Mouth Drum</v>
      </c>
      <c r="E426" s="10" t="str">
        <f t="array" ref="E426">IFERROR(INDEX(T1_ProductType!$C:$C,MATCH(INDEX(T2_GroupSKU!$C:$C,MATCH(B426,T2_GroupSKU!$A:$A,0)),T1_ProductType!$A:$A,0)),"")</f>
        <v>Drum</v>
      </c>
      <c r="F426" s="10" t="str">
        <f t="array" ref="F426">IFERROR(INDEX(T1_ProductType!$D:$D,MATCH(INDEX(T2_GroupSKU!$C:$C,MATCH(B426,T2_GroupSKU!$A:$A,0)),T1_ProductType!$A:$A,0)),"")</f>
        <v>Plastic Barrels</v>
      </c>
      <c r="G426" s="10" t="str">
        <f t="array" ref="G426">IFERROR(IF(INDEX(T1_ProductType!$E:$E,MATCH(INDEX(T2_GroupSKU!$C:$C,MATCH(B426,T2_GroupSKU!$A:$A,0)),T1_ProductType!$A:$A,0))="","-",INDEX(T1_ProductType!$E:$E,MATCH(INDEX(T2_GroupSKU!$C:$C,MATCH(B426,T2_GroupSKU!$A:$A,0)),T1_ProductType!$A:$A,0))),"-")</f>
        <v>Open Head Drum</v>
      </c>
      <c r="H426" s="10">
        <f t="array" ref="H426">IFERROR(IF(INDEX(T2_GroupSKU!$D:$D,MATCH(B426,T2_GroupSKU!$A:$A,0))="","-",INDEX(T2_GroupSKU!$D:$D,MATCH(B426,T2_GroupSKU!$A:$A,0))),"-")</f>
        <v>25</v>
      </c>
      <c r="I426" s="10" t="str">
        <f t="array" ref="I426">IFERROR(IF(INDEX(T2_GroupSKU!$E:$E,MATCH(B426,T2_GroupSKU!$A:$A,0))="","-",INDEX(T2_GroupSKU!$E:$E,MATCH(B426,T2_GroupSKU!$A:$A,0))),"-")</f>
        <v>LTR</v>
      </c>
      <c r="J426" s="10" t="str">
        <f>T3_SKU!C426</f>
        <v>Green / 1.7 KG</v>
      </c>
      <c r="K426" s="10" t="str">
        <f>T3_SKU!D426</f>
        <v>25 LTR GREEN W/M 1.7 KG</v>
      </c>
      <c r="L426" s="10" t="str">
        <f>T3_SKU!E426</f>
        <v>NOS</v>
      </c>
      <c r="M426" s="10" t="str">
        <f>T3_SKU!F426</f>
        <v>39233090</v>
      </c>
    </row>
    <row r="427" ht="15.0" customHeight="1">
      <c r="A427" s="10" t="str">
        <f>T3_SKU!A427</f>
        <v>WMD-30-BLU-20KG</v>
      </c>
      <c r="B427" s="10" t="str">
        <f>T3_SKU!B427</f>
        <v>WMD-30</v>
      </c>
      <c r="C427" s="10" t="str">
        <f t="array" ref="C427">IFERROR(INDEX(T2_GroupSKU!$B:$B,MATCH(B427,T2_GroupSKU!$A:$A,0)),"")</f>
        <v>Wide Mouth Drum - 30.0 LTR</v>
      </c>
      <c r="D427" s="10" t="str">
        <f t="array" ref="D427">IFERROR(INDEX(T1_ProductType!$B:$B,MATCH(INDEX(T2_GroupSKU!$C:$C,MATCH(B427,T2_GroupSKU!$A:$A,0)),T1_ProductType!$A:$A,0)),"")</f>
        <v>Wide Mouth Drum</v>
      </c>
      <c r="E427" s="10" t="str">
        <f t="array" ref="E427">IFERROR(INDEX(T1_ProductType!$C:$C,MATCH(INDEX(T2_GroupSKU!$C:$C,MATCH(B427,T2_GroupSKU!$A:$A,0)),T1_ProductType!$A:$A,0)),"")</f>
        <v>Drum</v>
      </c>
      <c r="F427" s="10" t="str">
        <f t="array" ref="F427">IFERROR(INDEX(T1_ProductType!$D:$D,MATCH(INDEX(T2_GroupSKU!$C:$C,MATCH(B427,T2_GroupSKU!$A:$A,0)),T1_ProductType!$A:$A,0)),"")</f>
        <v>Plastic Barrels</v>
      </c>
      <c r="G427" s="10" t="str">
        <f t="array" ref="G427">IFERROR(IF(INDEX(T1_ProductType!$E:$E,MATCH(INDEX(T2_GroupSKU!$C:$C,MATCH(B427,T2_GroupSKU!$A:$A,0)),T1_ProductType!$A:$A,0))="","-",INDEX(T1_ProductType!$E:$E,MATCH(INDEX(T2_GroupSKU!$C:$C,MATCH(B427,T2_GroupSKU!$A:$A,0)),T1_ProductType!$A:$A,0))),"-")</f>
        <v>Open Head Drum</v>
      </c>
      <c r="H427" s="10">
        <f t="array" ref="H427">IFERROR(IF(INDEX(T2_GroupSKU!$D:$D,MATCH(B427,T2_GroupSKU!$A:$A,0))="","-",INDEX(T2_GroupSKU!$D:$D,MATCH(B427,T2_GroupSKU!$A:$A,0))),"-")</f>
        <v>30</v>
      </c>
      <c r="I427" s="10" t="str">
        <f t="array" ref="I427">IFERROR(IF(INDEX(T2_GroupSKU!$E:$E,MATCH(B427,T2_GroupSKU!$A:$A,0))="","-",INDEX(T2_GroupSKU!$E:$E,MATCH(B427,T2_GroupSKU!$A:$A,0))),"-")</f>
        <v>LTR</v>
      </c>
      <c r="J427" s="10" t="str">
        <f>T3_SKU!C427</f>
        <v>Blue / 2.0 KG</v>
      </c>
      <c r="K427" s="10" t="str">
        <f>T3_SKU!D427</f>
        <v>30 LTR BLUE W/M 2.00 KG</v>
      </c>
      <c r="L427" s="10" t="str">
        <f>T3_SKU!E427</f>
        <v>NOS</v>
      </c>
      <c r="M427" s="10" t="str">
        <f>T3_SKU!F427</f>
        <v>39233090</v>
      </c>
    </row>
    <row r="428" ht="15.0" customHeight="1">
      <c r="A428" s="10" t="str">
        <f>T3_SKU!A428</f>
        <v>WMD-50-BLU-216KG</v>
      </c>
      <c r="B428" s="10" t="str">
        <f>T3_SKU!B428</f>
        <v>WMD-50</v>
      </c>
      <c r="C428" s="10" t="str">
        <f t="array" ref="C428">IFERROR(INDEX(T2_GroupSKU!$B:$B,MATCH(B428,T2_GroupSKU!$A:$A,0)),"")</f>
        <v>Wide Mouth Drum - 50.0 LTR</v>
      </c>
      <c r="D428" s="10" t="str">
        <f t="array" ref="D428">IFERROR(INDEX(T1_ProductType!$B:$B,MATCH(INDEX(T2_GroupSKU!$C:$C,MATCH(B428,T2_GroupSKU!$A:$A,0)),T1_ProductType!$A:$A,0)),"")</f>
        <v>Wide Mouth Drum</v>
      </c>
      <c r="E428" s="10" t="str">
        <f t="array" ref="E428">IFERROR(INDEX(T1_ProductType!$C:$C,MATCH(INDEX(T2_GroupSKU!$C:$C,MATCH(B428,T2_GroupSKU!$A:$A,0)),T1_ProductType!$A:$A,0)),"")</f>
        <v>Drum</v>
      </c>
      <c r="F428" s="10" t="str">
        <f t="array" ref="F428">IFERROR(INDEX(T1_ProductType!$D:$D,MATCH(INDEX(T2_GroupSKU!$C:$C,MATCH(B428,T2_GroupSKU!$A:$A,0)),T1_ProductType!$A:$A,0)),"")</f>
        <v>Plastic Barrels</v>
      </c>
      <c r="G428" s="10" t="str">
        <f t="array" ref="G428">IFERROR(IF(INDEX(T1_ProductType!$E:$E,MATCH(INDEX(T2_GroupSKU!$C:$C,MATCH(B428,T2_GroupSKU!$A:$A,0)),T1_ProductType!$A:$A,0))="","-",INDEX(T1_ProductType!$E:$E,MATCH(INDEX(T2_GroupSKU!$C:$C,MATCH(B428,T2_GroupSKU!$A:$A,0)),T1_ProductType!$A:$A,0))),"-")</f>
        <v>Open Head Drum</v>
      </c>
      <c r="H428" s="10">
        <f t="array" ref="H428">IFERROR(IF(INDEX(T2_GroupSKU!$D:$D,MATCH(B428,T2_GroupSKU!$A:$A,0))="","-",INDEX(T2_GroupSKU!$D:$D,MATCH(B428,T2_GroupSKU!$A:$A,0))),"-")</f>
        <v>50</v>
      </c>
      <c r="I428" s="10" t="str">
        <f t="array" ref="I428">IFERROR(IF(INDEX(T2_GroupSKU!$E:$E,MATCH(B428,T2_GroupSKU!$A:$A,0))="","-",INDEX(T2_GroupSKU!$E:$E,MATCH(B428,T2_GroupSKU!$A:$A,0))),"-")</f>
        <v>LTR</v>
      </c>
      <c r="J428" s="10" t="str">
        <f>T3_SKU!C428</f>
        <v>Blue / 2.16 KG</v>
      </c>
      <c r="K428" s="10" t="str">
        <f>T3_SKU!D428</f>
        <v>50 LTR BLUE W/M 2.16 KG</v>
      </c>
      <c r="L428" s="10" t="str">
        <f>T3_SKU!E428</f>
        <v>NOS</v>
      </c>
      <c r="M428" s="10" t="str">
        <f>T3_SKU!F428</f>
        <v>39233090</v>
      </c>
    </row>
    <row r="429" ht="15.0" customHeight="1">
      <c r="A429" s="10" t="str">
        <f>T3_SKU!A429</f>
        <v>WMD-50-BLU-2225KG</v>
      </c>
      <c r="B429" s="10" t="str">
        <f>T3_SKU!B429</f>
        <v>WMD-50</v>
      </c>
      <c r="C429" s="10" t="str">
        <f t="array" ref="C429">IFERROR(INDEX(T2_GroupSKU!$B:$B,MATCH(B429,T2_GroupSKU!$A:$A,0)),"")</f>
        <v>Wide Mouth Drum - 50.0 LTR</v>
      </c>
      <c r="D429" s="10" t="str">
        <f t="array" ref="D429">IFERROR(INDEX(T1_ProductType!$B:$B,MATCH(INDEX(T2_GroupSKU!$C:$C,MATCH(B429,T2_GroupSKU!$A:$A,0)),T1_ProductType!$A:$A,0)),"")</f>
        <v>Wide Mouth Drum</v>
      </c>
      <c r="E429" s="10" t="str">
        <f t="array" ref="E429">IFERROR(INDEX(T1_ProductType!$C:$C,MATCH(INDEX(T2_GroupSKU!$C:$C,MATCH(B429,T2_GroupSKU!$A:$A,0)),T1_ProductType!$A:$A,0)),"")</f>
        <v>Drum</v>
      </c>
      <c r="F429" s="10" t="str">
        <f t="array" ref="F429">IFERROR(INDEX(T1_ProductType!$D:$D,MATCH(INDEX(T2_GroupSKU!$C:$C,MATCH(B429,T2_GroupSKU!$A:$A,0)),T1_ProductType!$A:$A,0)),"")</f>
        <v>Plastic Barrels</v>
      </c>
      <c r="G429" s="10" t="str">
        <f t="array" ref="G429">IFERROR(IF(INDEX(T1_ProductType!$E:$E,MATCH(INDEX(T2_GroupSKU!$C:$C,MATCH(B429,T2_GroupSKU!$A:$A,0)),T1_ProductType!$A:$A,0))="","-",INDEX(T1_ProductType!$E:$E,MATCH(INDEX(T2_GroupSKU!$C:$C,MATCH(B429,T2_GroupSKU!$A:$A,0)),T1_ProductType!$A:$A,0))),"-")</f>
        <v>Open Head Drum</v>
      </c>
      <c r="H429" s="10">
        <f t="array" ref="H429">IFERROR(IF(INDEX(T2_GroupSKU!$D:$D,MATCH(B429,T2_GroupSKU!$A:$A,0))="","-",INDEX(T2_GroupSKU!$D:$D,MATCH(B429,T2_GroupSKU!$A:$A,0))),"-")</f>
        <v>50</v>
      </c>
      <c r="I429" s="10" t="str">
        <f t="array" ref="I429">IFERROR(IF(INDEX(T2_GroupSKU!$E:$E,MATCH(B429,T2_GroupSKU!$A:$A,0))="","-",INDEX(T2_GroupSKU!$E:$E,MATCH(B429,T2_GroupSKU!$A:$A,0))),"-")</f>
        <v>LTR</v>
      </c>
      <c r="J429" s="10" t="str">
        <f>T3_SKU!C429</f>
        <v>Blue / 2.225 KG</v>
      </c>
      <c r="K429" s="10" t="str">
        <f>T3_SKU!D429</f>
        <v>50 LTR BLUE W/M 2.225 KG</v>
      </c>
      <c r="L429" s="10" t="str">
        <f>T3_SKU!E429</f>
        <v>NOS</v>
      </c>
      <c r="M429" s="10" t="str">
        <f>T3_SKU!F429</f>
        <v>39233090</v>
      </c>
    </row>
    <row r="430" ht="15.0" customHeight="1">
      <c r="A430" s="10" t="str">
        <f>T3_SKU!A430</f>
        <v>WMD-50-BLU-224KG</v>
      </c>
      <c r="B430" s="10" t="str">
        <f>T3_SKU!B430</f>
        <v>WMD-50</v>
      </c>
      <c r="C430" s="10" t="str">
        <f t="array" ref="C430">IFERROR(INDEX(T2_GroupSKU!$B:$B,MATCH(B430,T2_GroupSKU!$A:$A,0)),"")</f>
        <v>Wide Mouth Drum - 50.0 LTR</v>
      </c>
      <c r="D430" s="10" t="str">
        <f t="array" ref="D430">IFERROR(INDEX(T1_ProductType!$B:$B,MATCH(INDEX(T2_GroupSKU!$C:$C,MATCH(B430,T2_GroupSKU!$A:$A,0)),T1_ProductType!$A:$A,0)),"")</f>
        <v>Wide Mouth Drum</v>
      </c>
      <c r="E430" s="10" t="str">
        <f t="array" ref="E430">IFERROR(INDEX(T1_ProductType!$C:$C,MATCH(INDEX(T2_GroupSKU!$C:$C,MATCH(B430,T2_GroupSKU!$A:$A,0)),T1_ProductType!$A:$A,0)),"")</f>
        <v>Drum</v>
      </c>
      <c r="F430" s="10" t="str">
        <f t="array" ref="F430">IFERROR(INDEX(T1_ProductType!$D:$D,MATCH(INDEX(T2_GroupSKU!$C:$C,MATCH(B430,T2_GroupSKU!$A:$A,0)),T1_ProductType!$A:$A,0)),"")</f>
        <v>Plastic Barrels</v>
      </c>
      <c r="G430" s="10" t="str">
        <f t="array" ref="G430">IFERROR(IF(INDEX(T1_ProductType!$E:$E,MATCH(INDEX(T2_GroupSKU!$C:$C,MATCH(B430,T2_GroupSKU!$A:$A,0)),T1_ProductType!$A:$A,0))="","-",INDEX(T1_ProductType!$E:$E,MATCH(INDEX(T2_GroupSKU!$C:$C,MATCH(B430,T2_GroupSKU!$A:$A,0)),T1_ProductType!$A:$A,0))),"-")</f>
        <v>Open Head Drum</v>
      </c>
      <c r="H430" s="10">
        <f t="array" ref="H430">IFERROR(IF(INDEX(T2_GroupSKU!$D:$D,MATCH(B430,T2_GroupSKU!$A:$A,0))="","-",INDEX(T2_GroupSKU!$D:$D,MATCH(B430,T2_GroupSKU!$A:$A,0))),"-")</f>
        <v>50</v>
      </c>
      <c r="I430" s="10" t="str">
        <f t="array" ref="I430">IFERROR(IF(INDEX(T2_GroupSKU!$E:$E,MATCH(B430,T2_GroupSKU!$A:$A,0))="","-",INDEX(T2_GroupSKU!$E:$E,MATCH(B430,T2_GroupSKU!$A:$A,0))),"-")</f>
        <v>LTR</v>
      </c>
      <c r="J430" s="10" t="str">
        <f>T3_SKU!C430</f>
        <v>Blue / 2.24 KG</v>
      </c>
      <c r="K430" s="10" t="str">
        <f>T3_SKU!D430</f>
        <v>50 LTR BLUE W/M 2.24 KG</v>
      </c>
      <c r="L430" s="10" t="str">
        <f>T3_SKU!E430</f>
        <v>NOS</v>
      </c>
      <c r="M430" s="10" t="str">
        <f>T3_SKU!F430</f>
        <v>39233090</v>
      </c>
    </row>
    <row r="431" ht="15.0" customHeight="1">
      <c r="A431" s="10" t="str">
        <f>T3_SKU!A431</f>
        <v>WMD-50-BLU-227KG</v>
      </c>
      <c r="B431" s="10" t="str">
        <f>T3_SKU!B431</f>
        <v>WMD-50</v>
      </c>
      <c r="C431" s="10" t="str">
        <f t="array" ref="C431">IFERROR(INDEX(T2_GroupSKU!$B:$B,MATCH(B431,T2_GroupSKU!$A:$A,0)),"")</f>
        <v>Wide Mouth Drum - 50.0 LTR</v>
      </c>
      <c r="D431" s="10" t="str">
        <f t="array" ref="D431">IFERROR(INDEX(T1_ProductType!$B:$B,MATCH(INDEX(T2_GroupSKU!$C:$C,MATCH(B431,T2_GroupSKU!$A:$A,0)),T1_ProductType!$A:$A,0)),"")</f>
        <v>Wide Mouth Drum</v>
      </c>
      <c r="E431" s="10" t="str">
        <f t="array" ref="E431">IFERROR(INDEX(T1_ProductType!$C:$C,MATCH(INDEX(T2_GroupSKU!$C:$C,MATCH(B431,T2_GroupSKU!$A:$A,0)),T1_ProductType!$A:$A,0)),"")</f>
        <v>Drum</v>
      </c>
      <c r="F431" s="10" t="str">
        <f t="array" ref="F431">IFERROR(INDEX(T1_ProductType!$D:$D,MATCH(INDEX(T2_GroupSKU!$C:$C,MATCH(B431,T2_GroupSKU!$A:$A,0)),T1_ProductType!$A:$A,0)),"")</f>
        <v>Plastic Barrels</v>
      </c>
      <c r="G431" s="10" t="str">
        <f t="array" ref="G431">IFERROR(IF(INDEX(T1_ProductType!$E:$E,MATCH(INDEX(T2_GroupSKU!$C:$C,MATCH(B431,T2_GroupSKU!$A:$A,0)),T1_ProductType!$A:$A,0))="","-",INDEX(T1_ProductType!$E:$E,MATCH(INDEX(T2_GroupSKU!$C:$C,MATCH(B431,T2_GroupSKU!$A:$A,0)),T1_ProductType!$A:$A,0))),"-")</f>
        <v>Open Head Drum</v>
      </c>
      <c r="H431" s="10">
        <f t="array" ref="H431">IFERROR(IF(INDEX(T2_GroupSKU!$D:$D,MATCH(B431,T2_GroupSKU!$A:$A,0))="","-",INDEX(T2_GroupSKU!$D:$D,MATCH(B431,T2_GroupSKU!$A:$A,0))),"-")</f>
        <v>50</v>
      </c>
      <c r="I431" s="10" t="str">
        <f t="array" ref="I431">IFERROR(IF(INDEX(T2_GroupSKU!$E:$E,MATCH(B431,T2_GroupSKU!$A:$A,0))="","-",INDEX(T2_GroupSKU!$E:$E,MATCH(B431,T2_GroupSKU!$A:$A,0))),"-")</f>
        <v>LTR</v>
      </c>
      <c r="J431" s="10" t="str">
        <f>T3_SKU!C431</f>
        <v>Blue / 2.27 KG</v>
      </c>
      <c r="K431" s="10" t="str">
        <f>T3_SKU!D431</f>
        <v>50 LTR BLUE W/M 2.27 KG</v>
      </c>
      <c r="L431" s="10" t="str">
        <f>T3_SKU!E431</f>
        <v>NOS</v>
      </c>
      <c r="M431" s="10" t="str">
        <f>T3_SKU!F431</f>
        <v>39233090</v>
      </c>
    </row>
    <row r="432" ht="15.0" customHeight="1">
      <c r="A432" s="10" t="str">
        <f>T3_SKU!A432</f>
        <v>WMD-50-BLU-236KG</v>
      </c>
      <c r="B432" s="10" t="str">
        <f>T3_SKU!B432</f>
        <v>WMD-50</v>
      </c>
      <c r="C432" s="10" t="str">
        <f t="array" ref="C432">IFERROR(INDEX(T2_GroupSKU!$B:$B,MATCH(B432,T2_GroupSKU!$A:$A,0)),"")</f>
        <v>Wide Mouth Drum - 50.0 LTR</v>
      </c>
      <c r="D432" s="10" t="str">
        <f t="array" ref="D432">IFERROR(INDEX(T1_ProductType!$B:$B,MATCH(INDEX(T2_GroupSKU!$C:$C,MATCH(B432,T2_GroupSKU!$A:$A,0)),T1_ProductType!$A:$A,0)),"")</f>
        <v>Wide Mouth Drum</v>
      </c>
      <c r="E432" s="10" t="str">
        <f t="array" ref="E432">IFERROR(INDEX(T1_ProductType!$C:$C,MATCH(INDEX(T2_GroupSKU!$C:$C,MATCH(B432,T2_GroupSKU!$A:$A,0)),T1_ProductType!$A:$A,0)),"")</f>
        <v>Drum</v>
      </c>
      <c r="F432" s="10" t="str">
        <f t="array" ref="F432">IFERROR(INDEX(T1_ProductType!$D:$D,MATCH(INDEX(T2_GroupSKU!$C:$C,MATCH(B432,T2_GroupSKU!$A:$A,0)),T1_ProductType!$A:$A,0)),"")</f>
        <v>Plastic Barrels</v>
      </c>
      <c r="G432" s="10" t="str">
        <f t="array" ref="G432">IFERROR(IF(INDEX(T1_ProductType!$E:$E,MATCH(INDEX(T2_GroupSKU!$C:$C,MATCH(B432,T2_GroupSKU!$A:$A,0)),T1_ProductType!$A:$A,0))="","-",INDEX(T1_ProductType!$E:$E,MATCH(INDEX(T2_GroupSKU!$C:$C,MATCH(B432,T2_GroupSKU!$A:$A,0)),T1_ProductType!$A:$A,0))),"-")</f>
        <v>Open Head Drum</v>
      </c>
      <c r="H432" s="10">
        <f t="array" ref="H432">IFERROR(IF(INDEX(T2_GroupSKU!$D:$D,MATCH(B432,T2_GroupSKU!$A:$A,0))="","-",INDEX(T2_GroupSKU!$D:$D,MATCH(B432,T2_GroupSKU!$A:$A,0))),"-")</f>
        <v>50</v>
      </c>
      <c r="I432" s="10" t="str">
        <f t="array" ref="I432">IFERROR(IF(INDEX(T2_GroupSKU!$E:$E,MATCH(B432,T2_GroupSKU!$A:$A,0))="","-",INDEX(T2_GroupSKU!$E:$E,MATCH(B432,T2_GroupSKU!$A:$A,0))),"-")</f>
        <v>LTR</v>
      </c>
      <c r="J432" s="10" t="str">
        <f>T3_SKU!C432</f>
        <v>Blue / 2.36 KG</v>
      </c>
      <c r="K432" s="10" t="str">
        <f>T3_SKU!D432</f>
        <v>50 LTR BLUE W/M 2.36 KG</v>
      </c>
      <c r="L432" s="10" t="str">
        <f>T3_SKU!E432</f>
        <v>NOS</v>
      </c>
      <c r="M432" s="10" t="str">
        <f>T3_SKU!F432</f>
        <v>39233090</v>
      </c>
    </row>
    <row r="433" ht="15.0" customHeight="1">
      <c r="A433" s="10" t="str">
        <f>T3_SKU!A433</f>
        <v>WMD-50-BLU-245KG</v>
      </c>
      <c r="B433" s="10" t="str">
        <f>T3_SKU!B433</f>
        <v>WMD-50</v>
      </c>
      <c r="C433" s="10" t="str">
        <f t="array" ref="C433">IFERROR(INDEX(T2_GroupSKU!$B:$B,MATCH(B433,T2_GroupSKU!$A:$A,0)),"")</f>
        <v>Wide Mouth Drum - 50.0 LTR</v>
      </c>
      <c r="D433" s="10" t="str">
        <f t="array" ref="D433">IFERROR(INDEX(T1_ProductType!$B:$B,MATCH(INDEX(T2_GroupSKU!$C:$C,MATCH(B433,T2_GroupSKU!$A:$A,0)),T1_ProductType!$A:$A,0)),"")</f>
        <v>Wide Mouth Drum</v>
      </c>
      <c r="E433" s="10" t="str">
        <f t="array" ref="E433">IFERROR(INDEX(T1_ProductType!$C:$C,MATCH(INDEX(T2_GroupSKU!$C:$C,MATCH(B433,T2_GroupSKU!$A:$A,0)),T1_ProductType!$A:$A,0)),"")</f>
        <v>Drum</v>
      </c>
      <c r="F433" s="10" t="str">
        <f t="array" ref="F433">IFERROR(INDEX(T1_ProductType!$D:$D,MATCH(INDEX(T2_GroupSKU!$C:$C,MATCH(B433,T2_GroupSKU!$A:$A,0)),T1_ProductType!$A:$A,0)),"")</f>
        <v>Plastic Barrels</v>
      </c>
      <c r="G433" s="10" t="str">
        <f t="array" ref="G433">IFERROR(IF(INDEX(T1_ProductType!$E:$E,MATCH(INDEX(T2_GroupSKU!$C:$C,MATCH(B433,T2_GroupSKU!$A:$A,0)),T1_ProductType!$A:$A,0))="","-",INDEX(T1_ProductType!$E:$E,MATCH(INDEX(T2_GroupSKU!$C:$C,MATCH(B433,T2_GroupSKU!$A:$A,0)),T1_ProductType!$A:$A,0))),"-")</f>
        <v>Open Head Drum</v>
      </c>
      <c r="H433" s="10">
        <f t="array" ref="H433">IFERROR(IF(INDEX(T2_GroupSKU!$D:$D,MATCH(B433,T2_GroupSKU!$A:$A,0))="","-",INDEX(T2_GroupSKU!$D:$D,MATCH(B433,T2_GroupSKU!$A:$A,0))),"-")</f>
        <v>50</v>
      </c>
      <c r="I433" s="10" t="str">
        <f t="array" ref="I433">IFERROR(IF(INDEX(T2_GroupSKU!$E:$E,MATCH(B433,T2_GroupSKU!$A:$A,0))="","-",INDEX(T2_GroupSKU!$E:$E,MATCH(B433,T2_GroupSKU!$A:$A,0))),"-")</f>
        <v>LTR</v>
      </c>
      <c r="J433" s="10" t="str">
        <f>T3_SKU!C433</f>
        <v>Blue / 2.45 KG</v>
      </c>
      <c r="K433" s="10" t="str">
        <f>T3_SKU!D433</f>
        <v>50 LTR BLUE W/M 2.45 KG</v>
      </c>
      <c r="L433" s="10" t="str">
        <f>T3_SKU!E433</f>
        <v>NOS</v>
      </c>
      <c r="M433" s="10" t="str">
        <f>T3_SKU!F433</f>
        <v>39233090</v>
      </c>
    </row>
    <row r="434" ht="15.0" customHeight="1">
      <c r="A434" s="10" t="str">
        <f>T3_SKU!A434</f>
        <v>WMD-50-BLU-24KG</v>
      </c>
      <c r="B434" s="10" t="str">
        <f>T3_SKU!B434</f>
        <v>WMD-50</v>
      </c>
      <c r="C434" s="10" t="str">
        <f t="array" ref="C434">IFERROR(INDEX(T2_GroupSKU!$B:$B,MATCH(B434,T2_GroupSKU!$A:$A,0)),"")</f>
        <v>Wide Mouth Drum - 50.0 LTR</v>
      </c>
      <c r="D434" s="10" t="str">
        <f t="array" ref="D434">IFERROR(INDEX(T1_ProductType!$B:$B,MATCH(INDEX(T2_GroupSKU!$C:$C,MATCH(B434,T2_GroupSKU!$A:$A,0)),T1_ProductType!$A:$A,0)),"")</f>
        <v>Wide Mouth Drum</v>
      </c>
      <c r="E434" s="10" t="str">
        <f t="array" ref="E434">IFERROR(INDEX(T1_ProductType!$C:$C,MATCH(INDEX(T2_GroupSKU!$C:$C,MATCH(B434,T2_GroupSKU!$A:$A,0)),T1_ProductType!$A:$A,0)),"")</f>
        <v>Drum</v>
      </c>
      <c r="F434" s="10" t="str">
        <f t="array" ref="F434">IFERROR(INDEX(T1_ProductType!$D:$D,MATCH(INDEX(T2_GroupSKU!$C:$C,MATCH(B434,T2_GroupSKU!$A:$A,0)),T1_ProductType!$A:$A,0)),"")</f>
        <v>Plastic Barrels</v>
      </c>
      <c r="G434" s="10" t="str">
        <f t="array" ref="G434">IFERROR(IF(INDEX(T1_ProductType!$E:$E,MATCH(INDEX(T2_GroupSKU!$C:$C,MATCH(B434,T2_GroupSKU!$A:$A,0)),T1_ProductType!$A:$A,0))="","-",INDEX(T1_ProductType!$E:$E,MATCH(INDEX(T2_GroupSKU!$C:$C,MATCH(B434,T2_GroupSKU!$A:$A,0)),T1_ProductType!$A:$A,0))),"-")</f>
        <v>Open Head Drum</v>
      </c>
      <c r="H434" s="10">
        <f t="array" ref="H434">IFERROR(IF(INDEX(T2_GroupSKU!$D:$D,MATCH(B434,T2_GroupSKU!$A:$A,0))="","-",INDEX(T2_GroupSKU!$D:$D,MATCH(B434,T2_GroupSKU!$A:$A,0))),"-")</f>
        <v>50</v>
      </c>
      <c r="I434" s="10" t="str">
        <f t="array" ref="I434">IFERROR(IF(INDEX(T2_GroupSKU!$E:$E,MATCH(B434,T2_GroupSKU!$A:$A,0))="","-",INDEX(T2_GroupSKU!$E:$E,MATCH(B434,T2_GroupSKU!$A:$A,0))),"-")</f>
        <v>LTR</v>
      </c>
      <c r="J434" s="10" t="str">
        <f>T3_SKU!C434</f>
        <v>Blue / 2.4 KG</v>
      </c>
      <c r="K434" s="10" t="str">
        <f>T3_SKU!D434</f>
        <v>50 LTR BLUE W/M 2.4 KG</v>
      </c>
      <c r="L434" s="10" t="str">
        <f>T3_SKU!E434</f>
        <v>NOS</v>
      </c>
      <c r="M434" s="10" t="str">
        <f>T3_SKU!F434</f>
        <v>39233090</v>
      </c>
    </row>
    <row r="435" ht="15.0" customHeight="1">
      <c r="A435" s="10" t="str">
        <f>T3_SKU!A435</f>
        <v>WMD-50-BLU-25KG</v>
      </c>
      <c r="B435" s="10" t="str">
        <f>T3_SKU!B435</f>
        <v>WMD-50</v>
      </c>
      <c r="C435" s="10" t="str">
        <f t="array" ref="C435">IFERROR(INDEX(T2_GroupSKU!$B:$B,MATCH(B435,T2_GroupSKU!$A:$A,0)),"")</f>
        <v>Wide Mouth Drum - 50.0 LTR</v>
      </c>
      <c r="D435" s="10" t="str">
        <f t="array" ref="D435">IFERROR(INDEX(T1_ProductType!$B:$B,MATCH(INDEX(T2_GroupSKU!$C:$C,MATCH(B435,T2_GroupSKU!$A:$A,0)),T1_ProductType!$A:$A,0)),"")</f>
        <v>Wide Mouth Drum</v>
      </c>
      <c r="E435" s="10" t="str">
        <f t="array" ref="E435">IFERROR(INDEX(T1_ProductType!$C:$C,MATCH(INDEX(T2_GroupSKU!$C:$C,MATCH(B435,T2_GroupSKU!$A:$A,0)),T1_ProductType!$A:$A,0)),"")</f>
        <v>Drum</v>
      </c>
      <c r="F435" s="10" t="str">
        <f t="array" ref="F435">IFERROR(INDEX(T1_ProductType!$D:$D,MATCH(INDEX(T2_GroupSKU!$C:$C,MATCH(B435,T2_GroupSKU!$A:$A,0)),T1_ProductType!$A:$A,0)),"")</f>
        <v>Plastic Barrels</v>
      </c>
      <c r="G435" s="10" t="str">
        <f t="array" ref="G435">IFERROR(IF(INDEX(T1_ProductType!$E:$E,MATCH(INDEX(T2_GroupSKU!$C:$C,MATCH(B435,T2_GroupSKU!$A:$A,0)),T1_ProductType!$A:$A,0))="","-",INDEX(T1_ProductType!$E:$E,MATCH(INDEX(T2_GroupSKU!$C:$C,MATCH(B435,T2_GroupSKU!$A:$A,0)),T1_ProductType!$A:$A,0))),"-")</f>
        <v>Open Head Drum</v>
      </c>
      <c r="H435" s="10">
        <f t="array" ref="H435">IFERROR(IF(INDEX(T2_GroupSKU!$D:$D,MATCH(B435,T2_GroupSKU!$A:$A,0))="","-",INDEX(T2_GroupSKU!$D:$D,MATCH(B435,T2_GroupSKU!$A:$A,0))),"-")</f>
        <v>50</v>
      </c>
      <c r="I435" s="10" t="str">
        <f t="array" ref="I435">IFERROR(IF(INDEX(T2_GroupSKU!$E:$E,MATCH(B435,T2_GroupSKU!$A:$A,0))="","-",INDEX(T2_GroupSKU!$E:$E,MATCH(B435,T2_GroupSKU!$A:$A,0))),"-")</f>
        <v>LTR</v>
      </c>
      <c r="J435" s="10" t="str">
        <f>T3_SKU!C435</f>
        <v>Blue / 2.5 KG</v>
      </c>
      <c r="K435" s="10" t="str">
        <f>T3_SKU!D435</f>
        <v>50 LTR BLUE W/M 2.5 KG</v>
      </c>
      <c r="L435" s="10" t="str">
        <f>T3_SKU!E435</f>
        <v>NOS</v>
      </c>
      <c r="M435" s="10" t="str">
        <f>T3_SKU!F435</f>
        <v>39233090</v>
      </c>
    </row>
    <row r="436" ht="15.0" customHeight="1">
      <c r="A436" s="10" t="str">
        <f>T3_SKU!A436</f>
        <v>WMD-50-BLU-26KG</v>
      </c>
      <c r="B436" s="10" t="str">
        <f>T3_SKU!B436</f>
        <v>WMD-50</v>
      </c>
      <c r="C436" s="10" t="str">
        <f t="array" ref="C436">IFERROR(INDEX(T2_GroupSKU!$B:$B,MATCH(B436,T2_GroupSKU!$A:$A,0)),"")</f>
        <v>Wide Mouth Drum - 50.0 LTR</v>
      </c>
      <c r="D436" s="10" t="str">
        <f t="array" ref="D436">IFERROR(INDEX(T1_ProductType!$B:$B,MATCH(INDEX(T2_GroupSKU!$C:$C,MATCH(B436,T2_GroupSKU!$A:$A,0)),T1_ProductType!$A:$A,0)),"")</f>
        <v>Wide Mouth Drum</v>
      </c>
      <c r="E436" s="10" t="str">
        <f t="array" ref="E436">IFERROR(INDEX(T1_ProductType!$C:$C,MATCH(INDEX(T2_GroupSKU!$C:$C,MATCH(B436,T2_GroupSKU!$A:$A,0)),T1_ProductType!$A:$A,0)),"")</f>
        <v>Drum</v>
      </c>
      <c r="F436" s="10" t="str">
        <f t="array" ref="F436">IFERROR(INDEX(T1_ProductType!$D:$D,MATCH(INDEX(T2_GroupSKU!$C:$C,MATCH(B436,T2_GroupSKU!$A:$A,0)),T1_ProductType!$A:$A,0)),"")</f>
        <v>Plastic Barrels</v>
      </c>
      <c r="G436" s="10" t="str">
        <f t="array" ref="G436">IFERROR(IF(INDEX(T1_ProductType!$E:$E,MATCH(INDEX(T2_GroupSKU!$C:$C,MATCH(B436,T2_GroupSKU!$A:$A,0)),T1_ProductType!$A:$A,0))="","-",INDEX(T1_ProductType!$E:$E,MATCH(INDEX(T2_GroupSKU!$C:$C,MATCH(B436,T2_GroupSKU!$A:$A,0)),T1_ProductType!$A:$A,0))),"-")</f>
        <v>Open Head Drum</v>
      </c>
      <c r="H436" s="10">
        <f t="array" ref="H436">IFERROR(IF(INDEX(T2_GroupSKU!$D:$D,MATCH(B436,T2_GroupSKU!$A:$A,0))="","-",INDEX(T2_GroupSKU!$D:$D,MATCH(B436,T2_GroupSKU!$A:$A,0))),"-")</f>
        <v>50</v>
      </c>
      <c r="I436" s="10" t="str">
        <f t="array" ref="I436">IFERROR(IF(INDEX(T2_GroupSKU!$E:$E,MATCH(B436,T2_GroupSKU!$A:$A,0))="","-",INDEX(T2_GroupSKU!$E:$E,MATCH(B436,T2_GroupSKU!$A:$A,0))),"-")</f>
        <v>LTR</v>
      </c>
      <c r="J436" s="10" t="str">
        <f>T3_SKU!C436</f>
        <v>Blue / 2.6 KG</v>
      </c>
      <c r="K436" s="10" t="str">
        <f>T3_SKU!D436</f>
        <v>50 LTR BLUE W/M 2.6 KG</v>
      </c>
      <c r="L436" s="10" t="str">
        <f>T3_SKU!E436</f>
        <v>NOS</v>
      </c>
      <c r="M436" s="10" t="str">
        <f>T3_SKU!F436</f>
        <v>39233090</v>
      </c>
    </row>
    <row r="437" ht="15.0" customHeight="1">
      <c r="A437" s="10" t="str">
        <f>T3_SKU!A437</f>
        <v>WMD-50-BLU-28KG</v>
      </c>
      <c r="B437" s="10" t="str">
        <f>T3_SKU!B437</f>
        <v>WMD-50</v>
      </c>
      <c r="C437" s="10" t="str">
        <f t="array" ref="C437">IFERROR(INDEX(T2_GroupSKU!$B:$B,MATCH(B437,T2_GroupSKU!$A:$A,0)),"")</f>
        <v>Wide Mouth Drum - 50.0 LTR</v>
      </c>
      <c r="D437" s="10" t="str">
        <f t="array" ref="D437">IFERROR(INDEX(T1_ProductType!$B:$B,MATCH(INDEX(T2_GroupSKU!$C:$C,MATCH(B437,T2_GroupSKU!$A:$A,0)),T1_ProductType!$A:$A,0)),"")</f>
        <v>Wide Mouth Drum</v>
      </c>
      <c r="E437" s="10" t="str">
        <f t="array" ref="E437">IFERROR(INDEX(T1_ProductType!$C:$C,MATCH(INDEX(T2_GroupSKU!$C:$C,MATCH(B437,T2_GroupSKU!$A:$A,0)),T1_ProductType!$A:$A,0)),"")</f>
        <v>Drum</v>
      </c>
      <c r="F437" s="10" t="str">
        <f t="array" ref="F437">IFERROR(INDEX(T1_ProductType!$D:$D,MATCH(INDEX(T2_GroupSKU!$C:$C,MATCH(B437,T2_GroupSKU!$A:$A,0)),T1_ProductType!$A:$A,0)),"")</f>
        <v>Plastic Barrels</v>
      </c>
      <c r="G437" s="10" t="str">
        <f t="array" ref="G437">IFERROR(IF(INDEX(T1_ProductType!$E:$E,MATCH(INDEX(T2_GroupSKU!$C:$C,MATCH(B437,T2_GroupSKU!$A:$A,0)),T1_ProductType!$A:$A,0))="","-",INDEX(T1_ProductType!$E:$E,MATCH(INDEX(T2_GroupSKU!$C:$C,MATCH(B437,T2_GroupSKU!$A:$A,0)),T1_ProductType!$A:$A,0))),"-")</f>
        <v>Open Head Drum</v>
      </c>
      <c r="H437" s="10">
        <f t="array" ref="H437">IFERROR(IF(INDEX(T2_GroupSKU!$D:$D,MATCH(B437,T2_GroupSKU!$A:$A,0))="","-",INDEX(T2_GroupSKU!$D:$D,MATCH(B437,T2_GroupSKU!$A:$A,0))),"-")</f>
        <v>50</v>
      </c>
      <c r="I437" s="10" t="str">
        <f t="array" ref="I437">IFERROR(IF(INDEX(T2_GroupSKU!$E:$E,MATCH(B437,T2_GroupSKU!$A:$A,0))="","-",INDEX(T2_GroupSKU!$E:$E,MATCH(B437,T2_GroupSKU!$A:$A,0))),"-")</f>
        <v>LTR</v>
      </c>
      <c r="J437" s="10" t="str">
        <f>T3_SKU!C437</f>
        <v>Blue / 2.8 KG</v>
      </c>
      <c r="K437" s="10" t="str">
        <f>T3_SKU!D437</f>
        <v>50 LTR BLUE W/M 2.8 KG</v>
      </c>
      <c r="L437" s="10" t="str">
        <f>T3_SKU!E437</f>
        <v>NOS</v>
      </c>
      <c r="M437" s="10" t="str">
        <f>T3_SKU!F437</f>
        <v>39233090</v>
      </c>
    </row>
    <row r="438" ht="15.0" customHeight="1">
      <c r="A438" s="10" t="str">
        <f>T3_SKU!A438</f>
        <v>WMD-50-BLU-30KG</v>
      </c>
      <c r="B438" s="10" t="str">
        <f>T3_SKU!B438</f>
        <v>WMD-50</v>
      </c>
      <c r="C438" s="10" t="str">
        <f t="array" ref="C438">IFERROR(INDEX(T2_GroupSKU!$B:$B,MATCH(B438,T2_GroupSKU!$A:$A,0)),"")</f>
        <v>Wide Mouth Drum - 50.0 LTR</v>
      </c>
      <c r="D438" s="10" t="str">
        <f t="array" ref="D438">IFERROR(INDEX(T1_ProductType!$B:$B,MATCH(INDEX(T2_GroupSKU!$C:$C,MATCH(B438,T2_GroupSKU!$A:$A,0)),T1_ProductType!$A:$A,0)),"")</f>
        <v>Wide Mouth Drum</v>
      </c>
      <c r="E438" s="10" t="str">
        <f t="array" ref="E438">IFERROR(INDEX(T1_ProductType!$C:$C,MATCH(INDEX(T2_GroupSKU!$C:$C,MATCH(B438,T2_GroupSKU!$A:$A,0)),T1_ProductType!$A:$A,0)),"")</f>
        <v>Drum</v>
      </c>
      <c r="F438" s="10" t="str">
        <f t="array" ref="F438">IFERROR(INDEX(T1_ProductType!$D:$D,MATCH(INDEX(T2_GroupSKU!$C:$C,MATCH(B438,T2_GroupSKU!$A:$A,0)),T1_ProductType!$A:$A,0)),"")</f>
        <v>Plastic Barrels</v>
      </c>
      <c r="G438" s="10" t="str">
        <f t="array" ref="G438">IFERROR(IF(INDEX(T1_ProductType!$E:$E,MATCH(INDEX(T2_GroupSKU!$C:$C,MATCH(B438,T2_GroupSKU!$A:$A,0)),T1_ProductType!$A:$A,0))="","-",INDEX(T1_ProductType!$E:$E,MATCH(INDEX(T2_GroupSKU!$C:$C,MATCH(B438,T2_GroupSKU!$A:$A,0)),T1_ProductType!$A:$A,0))),"-")</f>
        <v>Open Head Drum</v>
      </c>
      <c r="H438" s="10">
        <f t="array" ref="H438">IFERROR(IF(INDEX(T2_GroupSKU!$D:$D,MATCH(B438,T2_GroupSKU!$A:$A,0))="","-",INDEX(T2_GroupSKU!$D:$D,MATCH(B438,T2_GroupSKU!$A:$A,0))),"-")</f>
        <v>50</v>
      </c>
      <c r="I438" s="10" t="str">
        <f t="array" ref="I438">IFERROR(IF(INDEX(T2_GroupSKU!$E:$E,MATCH(B438,T2_GroupSKU!$A:$A,0))="","-",INDEX(T2_GroupSKU!$E:$E,MATCH(B438,T2_GroupSKU!$A:$A,0))),"-")</f>
        <v>LTR</v>
      </c>
      <c r="J438" s="10" t="str">
        <f>T3_SKU!C438</f>
        <v>Blue / 3.0 KG</v>
      </c>
      <c r="K438" s="10" t="str">
        <f>T3_SKU!D438</f>
        <v>50 LTR BLUE W/M 3.0 KG</v>
      </c>
      <c r="L438" s="10" t="str">
        <f>T3_SKU!E438</f>
        <v>NOS</v>
      </c>
      <c r="M438" s="10" t="str">
        <f>T3_SKU!F438</f>
        <v>39233090</v>
      </c>
    </row>
    <row r="439" ht="15.0" customHeight="1">
      <c r="A439" s="10" t="str">
        <f>T3_SKU!A439</f>
        <v>WMD-50-GRN-20KG</v>
      </c>
      <c r="B439" s="10" t="str">
        <f>T3_SKU!B439</f>
        <v>WMD-50</v>
      </c>
      <c r="C439" s="10" t="str">
        <f t="array" ref="C439">IFERROR(INDEX(T2_GroupSKU!$B:$B,MATCH(B439,T2_GroupSKU!$A:$A,0)),"")</f>
        <v>Wide Mouth Drum - 50.0 LTR</v>
      </c>
      <c r="D439" s="10" t="str">
        <f t="array" ref="D439">IFERROR(INDEX(T1_ProductType!$B:$B,MATCH(INDEX(T2_GroupSKU!$C:$C,MATCH(B439,T2_GroupSKU!$A:$A,0)),T1_ProductType!$A:$A,0)),"")</f>
        <v>Wide Mouth Drum</v>
      </c>
      <c r="E439" s="10" t="str">
        <f t="array" ref="E439">IFERROR(INDEX(T1_ProductType!$C:$C,MATCH(INDEX(T2_GroupSKU!$C:$C,MATCH(B439,T2_GroupSKU!$A:$A,0)),T1_ProductType!$A:$A,0)),"")</f>
        <v>Drum</v>
      </c>
      <c r="F439" s="10" t="str">
        <f t="array" ref="F439">IFERROR(INDEX(T1_ProductType!$D:$D,MATCH(INDEX(T2_GroupSKU!$C:$C,MATCH(B439,T2_GroupSKU!$A:$A,0)),T1_ProductType!$A:$A,0)),"")</f>
        <v>Plastic Barrels</v>
      </c>
      <c r="G439" s="10" t="str">
        <f t="array" ref="G439">IFERROR(IF(INDEX(T1_ProductType!$E:$E,MATCH(INDEX(T2_GroupSKU!$C:$C,MATCH(B439,T2_GroupSKU!$A:$A,0)),T1_ProductType!$A:$A,0))="","-",INDEX(T1_ProductType!$E:$E,MATCH(INDEX(T2_GroupSKU!$C:$C,MATCH(B439,T2_GroupSKU!$A:$A,0)),T1_ProductType!$A:$A,0))),"-")</f>
        <v>Open Head Drum</v>
      </c>
      <c r="H439" s="10">
        <f t="array" ref="H439">IFERROR(IF(INDEX(T2_GroupSKU!$D:$D,MATCH(B439,T2_GroupSKU!$A:$A,0))="","-",INDEX(T2_GroupSKU!$D:$D,MATCH(B439,T2_GroupSKU!$A:$A,0))),"-")</f>
        <v>50</v>
      </c>
      <c r="I439" s="10" t="str">
        <f t="array" ref="I439">IFERROR(IF(INDEX(T2_GroupSKU!$E:$E,MATCH(B439,T2_GroupSKU!$A:$A,0))="","-",INDEX(T2_GroupSKU!$E:$E,MATCH(B439,T2_GroupSKU!$A:$A,0))),"-")</f>
        <v>LTR</v>
      </c>
      <c r="J439" s="10" t="str">
        <f>T3_SKU!C439</f>
        <v>Green / 2.0 KG</v>
      </c>
      <c r="K439" s="10" t="str">
        <f>T3_SKU!D439</f>
        <v>50 LTR GREEN W/M 2.0 KG</v>
      </c>
      <c r="L439" s="10" t="str">
        <f>T3_SKU!E439</f>
        <v>NOS</v>
      </c>
      <c r="M439" s="10" t="str">
        <f>T3_SKU!F439</f>
        <v>39233090</v>
      </c>
    </row>
    <row r="440" ht="15.0" customHeight="1">
      <c r="A440" s="10" t="str">
        <f>T3_SKU!A440</f>
        <v>WMD-50-GRN-24KG</v>
      </c>
      <c r="B440" s="10" t="str">
        <f>T3_SKU!B440</f>
        <v>WMD-50</v>
      </c>
      <c r="C440" s="10" t="str">
        <f t="array" ref="C440">IFERROR(INDEX(T2_GroupSKU!$B:$B,MATCH(B440,T2_GroupSKU!$A:$A,0)),"")</f>
        <v>Wide Mouth Drum - 50.0 LTR</v>
      </c>
      <c r="D440" s="10" t="str">
        <f t="array" ref="D440">IFERROR(INDEX(T1_ProductType!$B:$B,MATCH(INDEX(T2_GroupSKU!$C:$C,MATCH(B440,T2_GroupSKU!$A:$A,0)),T1_ProductType!$A:$A,0)),"")</f>
        <v>Wide Mouth Drum</v>
      </c>
      <c r="E440" s="10" t="str">
        <f t="array" ref="E440">IFERROR(INDEX(T1_ProductType!$C:$C,MATCH(INDEX(T2_GroupSKU!$C:$C,MATCH(B440,T2_GroupSKU!$A:$A,0)),T1_ProductType!$A:$A,0)),"")</f>
        <v>Drum</v>
      </c>
      <c r="F440" s="10" t="str">
        <f t="array" ref="F440">IFERROR(INDEX(T1_ProductType!$D:$D,MATCH(INDEX(T2_GroupSKU!$C:$C,MATCH(B440,T2_GroupSKU!$A:$A,0)),T1_ProductType!$A:$A,0)),"")</f>
        <v>Plastic Barrels</v>
      </c>
      <c r="G440" s="10" t="str">
        <f t="array" ref="G440">IFERROR(IF(INDEX(T1_ProductType!$E:$E,MATCH(INDEX(T2_GroupSKU!$C:$C,MATCH(B440,T2_GroupSKU!$A:$A,0)),T1_ProductType!$A:$A,0))="","-",INDEX(T1_ProductType!$E:$E,MATCH(INDEX(T2_GroupSKU!$C:$C,MATCH(B440,T2_GroupSKU!$A:$A,0)),T1_ProductType!$A:$A,0))),"-")</f>
        <v>Open Head Drum</v>
      </c>
      <c r="H440" s="10">
        <f t="array" ref="H440">IFERROR(IF(INDEX(T2_GroupSKU!$D:$D,MATCH(B440,T2_GroupSKU!$A:$A,0))="","-",INDEX(T2_GroupSKU!$D:$D,MATCH(B440,T2_GroupSKU!$A:$A,0))),"-")</f>
        <v>50</v>
      </c>
      <c r="I440" s="10" t="str">
        <f t="array" ref="I440">IFERROR(IF(INDEX(T2_GroupSKU!$E:$E,MATCH(B440,T2_GroupSKU!$A:$A,0))="","-",INDEX(T2_GroupSKU!$E:$E,MATCH(B440,T2_GroupSKU!$A:$A,0))),"-")</f>
        <v>LTR</v>
      </c>
      <c r="J440" s="10" t="str">
        <f>T3_SKU!C440</f>
        <v>Green / 2.4 KG</v>
      </c>
      <c r="K440" s="10" t="str">
        <f>T3_SKU!D440</f>
        <v>50 LTR GREEN W/M 2.4 KG</v>
      </c>
      <c r="L440" s="10" t="str">
        <f>T3_SKU!E440</f>
        <v>NOS</v>
      </c>
      <c r="M440" s="10" t="str">
        <f>T3_SKU!F440</f>
        <v>39233090</v>
      </c>
    </row>
    <row r="441" ht="15.0" customHeight="1">
      <c r="A441" s="10" t="str">
        <f>T3_SKU!A441</f>
        <v>WMD-50-ORG-24KG</v>
      </c>
      <c r="B441" s="10" t="str">
        <f>T3_SKU!B441</f>
        <v>WMD-50</v>
      </c>
      <c r="C441" s="10" t="str">
        <f t="array" ref="C441">IFERROR(INDEX(T2_GroupSKU!$B:$B,MATCH(B441,T2_GroupSKU!$A:$A,0)),"")</f>
        <v>Wide Mouth Drum - 50.0 LTR</v>
      </c>
      <c r="D441" s="10" t="str">
        <f t="array" ref="D441">IFERROR(INDEX(T1_ProductType!$B:$B,MATCH(INDEX(T2_GroupSKU!$C:$C,MATCH(B441,T2_GroupSKU!$A:$A,0)),T1_ProductType!$A:$A,0)),"")</f>
        <v>Wide Mouth Drum</v>
      </c>
      <c r="E441" s="10" t="str">
        <f t="array" ref="E441">IFERROR(INDEX(T1_ProductType!$C:$C,MATCH(INDEX(T2_GroupSKU!$C:$C,MATCH(B441,T2_GroupSKU!$A:$A,0)),T1_ProductType!$A:$A,0)),"")</f>
        <v>Drum</v>
      </c>
      <c r="F441" s="10" t="str">
        <f t="array" ref="F441">IFERROR(INDEX(T1_ProductType!$D:$D,MATCH(INDEX(T2_GroupSKU!$C:$C,MATCH(B441,T2_GroupSKU!$A:$A,0)),T1_ProductType!$A:$A,0)),"")</f>
        <v>Plastic Barrels</v>
      </c>
      <c r="G441" s="10" t="str">
        <f t="array" ref="G441">IFERROR(IF(INDEX(T1_ProductType!$E:$E,MATCH(INDEX(T2_GroupSKU!$C:$C,MATCH(B441,T2_GroupSKU!$A:$A,0)),T1_ProductType!$A:$A,0))="","-",INDEX(T1_ProductType!$E:$E,MATCH(INDEX(T2_GroupSKU!$C:$C,MATCH(B441,T2_GroupSKU!$A:$A,0)),T1_ProductType!$A:$A,0))),"-")</f>
        <v>Open Head Drum</v>
      </c>
      <c r="H441" s="10">
        <f t="array" ref="H441">IFERROR(IF(INDEX(T2_GroupSKU!$D:$D,MATCH(B441,T2_GroupSKU!$A:$A,0))="","-",INDEX(T2_GroupSKU!$D:$D,MATCH(B441,T2_GroupSKU!$A:$A,0))),"-")</f>
        <v>50</v>
      </c>
      <c r="I441" s="10" t="str">
        <f t="array" ref="I441">IFERROR(IF(INDEX(T2_GroupSKU!$E:$E,MATCH(B441,T2_GroupSKU!$A:$A,0))="","-",INDEX(T2_GroupSKU!$E:$E,MATCH(B441,T2_GroupSKU!$A:$A,0))),"-")</f>
        <v>LTR</v>
      </c>
      <c r="J441" s="10" t="str">
        <f>T3_SKU!C441</f>
        <v>Orange / 2.4 KG</v>
      </c>
      <c r="K441" s="10" t="str">
        <f>T3_SKU!D441</f>
        <v>50 LTR ORANGE W/M 2.4 KG</v>
      </c>
      <c r="L441" s="10" t="str">
        <f>T3_SKU!E441</f>
        <v>NOS</v>
      </c>
      <c r="M441" s="10" t="str">
        <f>T3_SKU!F441</f>
        <v>39233090</v>
      </c>
    </row>
    <row r="442" ht="15.0" customHeight="1">
      <c r="A442" s="10" t="str">
        <f>T3_SKU!A442</f>
        <v>WMD-50-WHT-257KG</v>
      </c>
      <c r="B442" s="10" t="str">
        <f>T3_SKU!B442</f>
        <v>WMD-50</v>
      </c>
      <c r="C442" s="10" t="str">
        <f t="array" ref="C442">IFERROR(INDEX(T2_GroupSKU!$B:$B,MATCH(B442,T2_GroupSKU!$A:$A,0)),"")</f>
        <v>Wide Mouth Drum - 50.0 LTR</v>
      </c>
      <c r="D442" s="10" t="str">
        <f t="array" ref="D442">IFERROR(INDEX(T1_ProductType!$B:$B,MATCH(INDEX(T2_GroupSKU!$C:$C,MATCH(B442,T2_GroupSKU!$A:$A,0)),T1_ProductType!$A:$A,0)),"")</f>
        <v>Wide Mouth Drum</v>
      </c>
      <c r="E442" s="10" t="str">
        <f t="array" ref="E442">IFERROR(INDEX(T1_ProductType!$C:$C,MATCH(INDEX(T2_GroupSKU!$C:$C,MATCH(B442,T2_GroupSKU!$A:$A,0)),T1_ProductType!$A:$A,0)),"")</f>
        <v>Drum</v>
      </c>
      <c r="F442" s="10" t="str">
        <f t="array" ref="F442">IFERROR(INDEX(T1_ProductType!$D:$D,MATCH(INDEX(T2_GroupSKU!$C:$C,MATCH(B442,T2_GroupSKU!$A:$A,0)),T1_ProductType!$A:$A,0)),"")</f>
        <v>Plastic Barrels</v>
      </c>
      <c r="G442" s="10" t="str">
        <f t="array" ref="G442">IFERROR(IF(INDEX(T1_ProductType!$E:$E,MATCH(INDEX(T2_GroupSKU!$C:$C,MATCH(B442,T2_GroupSKU!$A:$A,0)),T1_ProductType!$A:$A,0))="","-",INDEX(T1_ProductType!$E:$E,MATCH(INDEX(T2_GroupSKU!$C:$C,MATCH(B442,T2_GroupSKU!$A:$A,0)),T1_ProductType!$A:$A,0))),"-")</f>
        <v>Open Head Drum</v>
      </c>
      <c r="H442" s="10">
        <f t="array" ref="H442">IFERROR(IF(INDEX(T2_GroupSKU!$D:$D,MATCH(B442,T2_GroupSKU!$A:$A,0))="","-",INDEX(T2_GroupSKU!$D:$D,MATCH(B442,T2_GroupSKU!$A:$A,0))),"-")</f>
        <v>50</v>
      </c>
      <c r="I442" s="10" t="str">
        <f t="array" ref="I442">IFERROR(IF(INDEX(T2_GroupSKU!$E:$E,MATCH(B442,T2_GroupSKU!$A:$A,0))="","-",INDEX(T2_GroupSKU!$E:$E,MATCH(B442,T2_GroupSKU!$A:$A,0))),"-")</f>
        <v>LTR</v>
      </c>
      <c r="J442" s="10" t="str">
        <f>T3_SKU!C442</f>
        <v>White / 2.57 KG</v>
      </c>
      <c r="K442" s="10" t="str">
        <f>T3_SKU!D442</f>
        <v>50 LTR WHITE W/M 2.57 KG</v>
      </c>
      <c r="L442" s="10" t="str">
        <f>T3_SKU!E442</f>
        <v>NOS</v>
      </c>
      <c r="M442" s="10" t="str">
        <f>T3_SKU!F442</f>
        <v>39233090</v>
      </c>
    </row>
    <row r="443" ht="15.0" customHeight="1">
      <c r="A443" s="10" t="str">
        <f>T3_SKU!A443</f>
        <v>WMD-50-WHT-276KG</v>
      </c>
      <c r="B443" s="10" t="str">
        <f>T3_SKU!B443</f>
        <v>WMD-50</v>
      </c>
      <c r="C443" s="10" t="str">
        <f t="array" ref="C443">IFERROR(INDEX(T2_GroupSKU!$B:$B,MATCH(B443,T2_GroupSKU!$A:$A,0)),"")</f>
        <v>Wide Mouth Drum - 50.0 LTR</v>
      </c>
      <c r="D443" s="10" t="str">
        <f t="array" ref="D443">IFERROR(INDEX(T1_ProductType!$B:$B,MATCH(INDEX(T2_GroupSKU!$C:$C,MATCH(B443,T2_GroupSKU!$A:$A,0)),T1_ProductType!$A:$A,0)),"")</f>
        <v>Wide Mouth Drum</v>
      </c>
      <c r="E443" s="10" t="str">
        <f t="array" ref="E443">IFERROR(INDEX(T1_ProductType!$C:$C,MATCH(INDEX(T2_GroupSKU!$C:$C,MATCH(B443,T2_GroupSKU!$A:$A,0)),T1_ProductType!$A:$A,0)),"")</f>
        <v>Drum</v>
      </c>
      <c r="F443" s="10" t="str">
        <f t="array" ref="F443">IFERROR(INDEX(T1_ProductType!$D:$D,MATCH(INDEX(T2_GroupSKU!$C:$C,MATCH(B443,T2_GroupSKU!$A:$A,0)),T1_ProductType!$A:$A,0)),"")</f>
        <v>Plastic Barrels</v>
      </c>
      <c r="G443" s="10" t="str">
        <f t="array" ref="G443">IFERROR(IF(INDEX(T1_ProductType!$E:$E,MATCH(INDEX(T2_GroupSKU!$C:$C,MATCH(B443,T2_GroupSKU!$A:$A,0)),T1_ProductType!$A:$A,0))="","-",INDEX(T1_ProductType!$E:$E,MATCH(INDEX(T2_GroupSKU!$C:$C,MATCH(B443,T2_GroupSKU!$A:$A,0)),T1_ProductType!$A:$A,0))),"-")</f>
        <v>Open Head Drum</v>
      </c>
      <c r="H443" s="10">
        <f t="array" ref="H443">IFERROR(IF(INDEX(T2_GroupSKU!$D:$D,MATCH(B443,T2_GroupSKU!$A:$A,0))="","-",INDEX(T2_GroupSKU!$D:$D,MATCH(B443,T2_GroupSKU!$A:$A,0))),"-")</f>
        <v>50</v>
      </c>
      <c r="I443" s="10" t="str">
        <f t="array" ref="I443">IFERROR(IF(INDEX(T2_GroupSKU!$E:$E,MATCH(B443,T2_GroupSKU!$A:$A,0))="","-",INDEX(T2_GroupSKU!$E:$E,MATCH(B443,T2_GroupSKU!$A:$A,0))),"-")</f>
        <v>LTR</v>
      </c>
      <c r="J443" s="10" t="str">
        <f>T3_SKU!C443</f>
        <v>White / 2.76 KG</v>
      </c>
      <c r="K443" s="10" t="str">
        <f>T3_SKU!D443</f>
        <v>50 LTR WHITE W/M 2.76 KG</v>
      </c>
      <c r="L443" s="10" t="str">
        <f>T3_SKU!E443</f>
        <v>NOS</v>
      </c>
      <c r="M443" s="10" t="str">
        <f>T3_SKU!F443</f>
        <v>39233090</v>
      </c>
    </row>
    <row r="444" ht="15.0" customHeight="1">
      <c r="A444" s="10" t="str">
        <f>T3_SKU!A444</f>
        <v>WMD-50-WHT-28KG</v>
      </c>
      <c r="B444" s="10" t="str">
        <f>T3_SKU!B444</f>
        <v>WMD-50</v>
      </c>
      <c r="C444" s="10" t="str">
        <f t="array" ref="C444">IFERROR(INDEX(T2_GroupSKU!$B:$B,MATCH(B444,T2_GroupSKU!$A:$A,0)),"")</f>
        <v>Wide Mouth Drum - 50.0 LTR</v>
      </c>
      <c r="D444" s="10" t="str">
        <f t="array" ref="D444">IFERROR(INDEX(T1_ProductType!$B:$B,MATCH(INDEX(T2_GroupSKU!$C:$C,MATCH(B444,T2_GroupSKU!$A:$A,0)),T1_ProductType!$A:$A,0)),"")</f>
        <v>Wide Mouth Drum</v>
      </c>
      <c r="E444" s="10" t="str">
        <f t="array" ref="E444">IFERROR(INDEX(T1_ProductType!$C:$C,MATCH(INDEX(T2_GroupSKU!$C:$C,MATCH(B444,T2_GroupSKU!$A:$A,0)),T1_ProductType!$A:$A,0)),"")</f>
        <v>Drum</v>
      </c>
      <c r="F444" s="10" t="str">
        <f t="array" ref="F444">IFERROR(INDEX(T1_ProductType!$D:$D,MATCH(INDEX(T2_GroupSKU!$C:$C,MATCH(B444,T2_GroupSKU!$A:$A,0)),T1_ProductType!$A:$A,0)),"")</f>
        <v>Plastic Barrels</v>
      </c>
      <c r="G444" s="10" t="str">
        <f t="array" ref="G444">IFERROR(IF(INDEX(T1_ProductType!$E:$E,MATCH(INDEX(T2_GroupSKU!$C:$C,MATCH(B444,T2_GroupSKU!$A:$A,0)),T1_ProductType!$A:$A,0))="","-",INDEX(T1_ProductType!$E:$E,MATCH(INDEX(T2_GroupSKU!$C:$C,MATCH(B444,T2_GroupSKU!$A:$A,0)),T1_ProductType!$A:$A,0))),"-")</f>
        <v>Open Head Drum</v>
      </c>
      <c r="H444" s="10">
        <f t="array" ref="H444">IFERROR(IF(INDEX(T2_GroupSKU!$D:$D,MATCH(B444,T2_GroupSKU!$A:$A,0))="","-",INDEX(T2_GroupSKU!$D:$D,MATCH(B444,T2_GroupSKU!$A:$A,0))),"-")</f>
        <v>50</v>
      </c>
      <c r="I444" s="10" t="str">
        <f t="array" ref="I444">IFERROR(IF(INDEX(T2_GroupSKU!$E:$E,MATCH(B444,T2_GroupSKU!$A:$A,0))="","-",INDEX(T2_GroupSKU!$E:$E,MATCH(B444,T2_GroupSKU!$A:$A,0))),"-")</f>
        <v>LTR</v>
      </c>
      <c r="J444" s="10" t="str">
        <f>T3_SKU!C444</f>
        <v>White / 2.8 KG</v>
      </c>
      <c r="K444" s="10" t="str">
        <f>T3_SKU!D444</f>
        <v>50 LTR WHITE W/M 2.8 KG</v>
      </c>
      <c r="L444" s="10" t="str">
        <f>T3_SKU!E444</f>
        <v>NOS</v>
      </c>
      <c r="M444" s="10" t="str">
        <f>T3_SKU!F444</f>
        <v>39233090</v>
      </c>
    </row>
    <row r="445" ht="15.0" customHeight="1">
      <c r="A445" s="10" t="str">
        <f>T3_SKU!A445</f>
        <v>WMD-50-WHT-30KG</v>
      </c>
      <c r="B445" s="10" t="str">
        <f>T3_SKU!B445</f>
        <v>WMD-50</v>
      </c>
      <c r="C445" s="10" t="str">
        <f t="array" ref="C445">IFERROR(INDEX(T2_GroupSKU!$B:$B,MATCH(B445,T2_GroupSKU!$A:$A,0)),"")</f>
        <v>Wide Mouth Drum - 50.0 LTR</v>
      </c>
      <c r="D445" s="10" t="str">
        <f t="array" ref="D445">IFERROR(INDEX(T1_ProductType!$B:$B,MATCH(INDEX(T2_GroupSKU!$C:$C,MATCH(B445,T2_GroupSKU!$A:$A,0)),T1_ProductType!$A:$A,0)),"")</f>
        <v>Wide Mouth Drum</v>
      </c>
      <c r="E445" s="10" t="str">
        <f t="array" ref="E445">IFERROR(INDEX(T1_ProductType!$C:$C,MATCH(INDEX(T2_GroupSKU!$C:$C,MATCH(B445,T2_GroupSKU!$A:$A,0)),T1_ProductType!$A:$A,0)),"")</f>
        <v>Drum</v>
      </c>
      <c r="F445" s="10" t="str">
        <f t="array" ref="F445">IFERROR(INDEX(T1_ProductType!$D:$D,MATCH(INDEX(T2_GroupSKU!$C:$C,MATCH(B445,T2_GroupSKU!$A:$A,0)),T1_ProductType!$A:$A,0)),"")</f>
        <v>Plastic Barrels</v>
      </c>
      <c r="G445" s="10" t="str">
        <f t="array" ref="G445">IFERROR(IF(INDEX(T1_ProductType!$E:$E,MATCH(INDEX(T2_GroupSKU!$C:$C,MATCH(B445,T2_GroupSKU!$A:$A,0)),T1_ProductType!$A:$A,0))="","-",INDEX(T1_ProductType!$E:$E,MATCH(INDEX(T2_GroupSKU!$C:$C,MATCH(B445,T2_GroupSKU!$A:$A,0)),T1_ProductType!$A:$A,0))),"-")</f>
        <v>Open Head Drum</v>
      </c>
      <c r="H445" s="10">
        <f t="array" ref="H445">IFERROR(IF(INDEX(T2_GroupSKU!$D:$D,MATCH(B445,T2_GroupSKU!$A:$A,0))="","-",INDEX(T2_GroupSKU!$D:$D,MATCH(B445,T2_GroupSKU!$A:$A,0))),"-")</f>
        <v>50</v>
      </c>
      <c r="I445" s="10" t="str">
        <f t="array" ref="I445">IFERROR(IF(INDEX(T2_GroupSKU!$E:$E,MATCH(B445,T2_GroupSKU!$A:$A,0))="","-",INDEX(T2_GroupSKU!$E:$E,MATCH(B445,T2_GroupSKU!$A:$A,0))),"-")</f>
        <v>LTR</v>
      </c>
      <c r="J445" s="10" t="str">
        <f>T3_SKU!C445</f>
        <v>White / 3.0 KG</v>
      </c>
      <c r="K445" s="10" t="str">
        <f>T3_SKU!D445</f>
        <v>50 LTR WHITE W/M 3.0 KG</v>
      </c>
      <c r="L445" s="10" t="str">
        <f>T3_SKU!E445</f>
        <v>NOS</v>
      </c>
      <c r="M445" s="10" t="str">
        <f>T3_SKU!F445</f>
        <v>39233090</v>
      </c>
    </row>
    <row r="446" ht="15.0" customHeight="1">
      <c r="A446" s="10" t="str">
        <f>T3_SKU!A446</f>
        <v>WMD-50-YEL-2225KG</v>
      </c>
      <c r="B446" s="10" t="str">
        <f>T3_SKU!B446</f>
        <v>WMD-50</v>
      </c>
      <c r="C446" s="10" t="str">
        <f t="array" ref="C446">IFERROR(INDEX(T2_GroupSKU!$B:$B,MATCH(B446,T2_GroupSKU!$A:$A,0)),"")</f>
        <v>Wide Mouth Drum - 50.0 LTR</v>
      </c>
      <c r="D446" s="10" t="str">
        <f t="array" ref="D446">IFERROR(INDEX(T1_ProductType!$B:$B,MATCH(INDEX(T2_GroupSKU!$C:$C,MATCH(B446,T2_GroupSKU!$A:$A,0)),T1_ProductType!$A:$A,0)),"")</f>
        <v>Wide Mouth Drum</v>
      </c>
      <c r="E446" s="10" t="str">
        <f t="array" ref="E446">IFERROR(INDEX(T1_ProductType!$C:$C,MATCH(INDEX(T2_GroupSKU!$C:$C,MATCH(B446,T2_GroupSKU!$A:$A,0)),T1_ProductType!$A:$A,0)),"")</f>
        <v>Drum</v>
      </c>
      <c r="F446" s="10" t="str">
        <f t="array" ref="F446">IFERROR(INDEX(T1_ProductType!$D:$D,MATCH(INDEX(T2_GroupSKU!$C:$C,MATCH(B446,T2_GroupSKU!$A:$A,0)),T1_ProductType!$A:$A,0)),"")</f>
        <v>Plastic Barrels</v>
      </c>
      <c r="G446" s="10" t="str">
        <f t="array" ref="G446">IFERROR(IF(INDEX(T1_ProductType!$E:$E,MATCH(INDEX(T2_GroupSKU!$C:$C,MATCH(B446,T2_GroupSKU!$A:$A,0)),T1_ProductType!$A:$A,0))="","-",INDEX(T1_ProductType!$E:$E,MATCH(INDEX(T2_GroupSKU!$C:$C,MATCH(B446,T2_GroupSKU!$A:$A,0)),T1_ProductType!$A:$A,0))),"-")</f>
        <v>Open Head Drum</v>
      </c>
      <c r="H446" s="10">
        <f t="array" ref="H446">IFERROR(IF(INDEX(T2_GroupSKU!$D:$D,MATCH(B446,T2_GroupSKU!$A:$A,0))="","-",INDEX(T2_GroupSKU!$D:$D,MATCH(B446,T2_GroupSKU!$A:$A,0))),"-")</f>
        <v>50</v>
      </c>
      <c r="I446" s="10" t="str">
        <f t="array" ref="I446">IFERROR(IF(INDEX(T2_GroupSKU!$E:$E,MATCH(B446,T2_GroupSKU!$A:$A,0))="","-",INDEX(T2_GroupSKU!$E:$E,MATCH(B446,T2_GroupSKU!$A:$A,0))),"-")</f>
        <v>LTR</v>
      </c>
      <c r="J446" s="10" t="str">
        <f>T3_SKU!C446</f>
        <v>Yellow / 2.225 KG</v>
      </c>
      <c r="K446" s="10" t="str">
        <f>T3_SKU!D446</f>
        <v>50 LTR YELLOW W/M 2.225KG</v>
      </c>
      <c r="L446" s="10" t="str">
        <f>T3_SKU!E446</f>
        <v>NOS</v>
      </c>
      <c r="M446" s="10" t="str">
        <f>T3_SKU!F446</f>
        <v>39233090</v>
      </c>
    </row>
    <row r="447" ht="15.0" customHeight="1">
      <c r="A447" s="10" t="str">
        <f>T3_SKU!A447</f>
        <v>WMD-50-YEL-245KG</v>
      </c>
      <c r="B447" s="10" t="str">
        <f>T3_SKU!B447</f>
        <v>WMD-50</v>
      </c>
      <c r="C447" s="10" t="str">
        <f t="array" ref="C447">IFERROR(INDEX(T2_GroupSKU!$B:$B,MATCH(B447,T2_GroupSKU!$A:$A,0)),"")</f>
        <v>Wide Mouth Drum - 50.0 LTR</v>
      </c>
      <c r="D447" s="10" t="str">
        <f t="array" ref="D447">IFERROR(INDEX(T1_ProductType!$B:$B,MATCH(INDEX(T2_GroupSKU!$C:$C,MATCH(B447,T2_GroupSKU!$A:$A,0)),T1_ProductType!$A:$A,0)),"")</f>
        <v>Wide Mouth Drum</v>
      </c>
      <c r="E447" s="10" t="str">
        <f t="array" ref="E447">IFERROR(INDEX(T1_ProductType!$C:$C,MATCH(INDEX(T2_GroupSKU!$C:$C,MATCH(B447,T2_GroupSKU!$A:$A,0)),T1_ProductType!$A:$A,0)),"")</f>
        <v>Drum</v>
      </c>
      <c r="F447" s="10" t="str">
        <f t="array" ref="F447">IFERROR(INDEX(T1_ProductType!$D:$D,MATCH(INDEX(T2_GroupSKU!$C:$C,MATCH(B447,T2_GroupSKU!$A:$A,0)),T1_ProductType!$A:$A,0)),"")</f>
        <v>Plastic Barrels</v>
      </c>
      <c r="G447" s="10" t="str">
        <f t="array" ref="G447">IFERROR(IF(INDEX(T1_ProductType!$E:$E,MATCH(INDEX(T2_GroupSKU!$C:$C,MATCH(B447,T2_GroupSKU!$A:$A,0)),T1_ProductType!$A:$A,0))="","-",INDEX(T1_ProductType!$E:$E,MATCH(INDEX(T2_GroupSKU!$C:$C,MATCH(B447,T2_GroupSKU!$A:$A,0)),T1_ProductType!$A:$A,0))),"-")</f>
        <v>Open Head Drum</v>
      </c>
      <c r="H447" s="10">
        <f t="array" ref="H447">IFERROR(IF(INDEX(T2_GroupSKU!$D:$D,MATCH(B447,T2_GroupSKU!$A:$A,0))="","-",INDEX(T2_GroupSKU!$D:$D,MATCH(B447,T2_GroupSKU!$A:$A,0))),"-")</f>
        <v>50</v>
      </c>
      <c r="I447" s="10" t="str">
        <f t="array" ref="I447">IFERROR(IF(INDEX(T2_GroupSKU!$E:$E,MATCH(B447,T2_GroupSKU!$A:$A,0))="","-",INDEX(T2_GroupSKU!$E:$E,MATCH(B447,T2_GroupSKU!$A:$A,0))),"-")</f>
        <v>LTR</v>
      </c>
      <c r="J447" s="10" t="str">
        <f>T3_SKU!C447</f>
        <v>Yellow / 2.45 KG</v>
      </c>
      <c r="K447" s="10" t="str">
        <f>T3_SKU!D447</f>
        <v>50 LTR YELLOW W/M 2.450 KG</v>
      </c>
      <c r="L447" s="10" t="str">
        <f>T3_SKU!E447</f>
        <v>NOS</v>
      </c>
      <c r="M447" s="10" t="str">
        <f>T3_SKU!F447</f>
        <v>39233090</v>
      </c>
    </row>
    <row r="448" ht="15.0" customHeight="1">
      <c r="A448" s="10" t="str">
        <f>T3_SKU!A448</f>
        <v>WMD-50-YEL-257KG</v>
      </c>
      <c r="B448" s="10" t="str">
        <f>T3_SKU!B448</f>
        <v>WMD-50</v>
      </c>
      <c r="C448" s="10" t="str">
        <f t="array" ref="C448">IFERROR(INDEX(T2_GroupSKU!$B:$B,MATCH(B448,T2_GroupSKU!$A:$A,0)),"")</f>
        <v>Wide Mouth Drum - 50.0 LTR</v>
      </c>
      <c r="D448" s="10" t="str">
        <f t="array" ref="D448">IFERROR(INDEX(T1_ProductType!$B:$B,MATCH(INDEX(T2_GroupSKU!$C:$C,MATCH(B448,T2_GroupSKU!$A:$A,0)),T1_ProductType!$A:$A,0)),"")</f>
        <v>Wide Mouth Drum</v>
      </c>
      <c r="E448" s="10" t="str">
        <f t="array" ref="E448">IFERROR(INDEX(T1_ProductType!$C:$C,MATCH(INDEX(T2_GroupSKU!$C:$C,MATCH(B448,T2_GroupSKU!$A:$A,0)),T1_ProductType!$A:$A,0)),"")</f>
        <v>Drum</v>
      </c>
      <c r="F448" s="10" t="str">
        <f t="array" ref="F448">IFERROR(INDEX(T1_ProductType!$D:$D,MATCH(INDEX(T2_GroupSKU!$C:$C,MATCH(B448,T2_GroupSKU!$A:$A,0)),T1_ProductType!$A:$A,0)),"")</f>
        <v>Plastic Barrels</v>
      </c>
      <c r="G448" s="10" t="str">
        <f t="array" ref="G448">IFERROR(IF(INDEX(T1_ProductType!$E:$E,MATCH(INDEX(T2_GroupSKU!$C:$C,MATCH(B448,T2_GroupSKU!$A:$A,0)),T1_ProductType!$A:$A,0))="","-",INDEX(T1_ProductType!$E:$E,MATCH(INDEX(T2_GroupSKU!$C:$C,MATCH(B448,T2_GroupSKU!$A:$A,0)),T1_ProductType!$A:$A,0))),"-")</f>
        <v>Open Head Drum</v>
      </c>
      <c r="H448" s="10">
        <f t="array" ref="H448">IFERROR(IF(INDEX(T2_GroupSKU!$D:$D,MATCH(B448,T2_GroupSKU!$A:$A,0))="","-",INDEX(T2_GroupSKU!$D:$D,MATCH(B448,T2_GroupSKU!$A:$A,0))),"-")</f>
        <v>50</v>
      </c>
      <c r="I448" s="10" t="str">
        <f t="array" ref="I448">IFERROR(IF(INDEX(T2_GroupSKU!$E:$E,MATCH(B448,T2_GroupSKU!$A:$A,0))="","-",INDEX(T2_GroupSKU!$E:$E,MATCH(B448,T2_GroupSKU!$A:$A,0))),"-")</f>
        <v>LTR</v>
      </c>
      <c r="J448" s="10" t="str">
        <f>T3_SKU!C448</f>
        <v>Yellow / 2.57 KG</v>
      </c>
      <c r="K448" s="10" t="str">
        <f>T3_SKU!D448</f>
        <v>50 LTR YELLOW W/M 2.570 KG</v>
      </c>
      <c r="L448" s="10" t="str">
        <f>T3_SKU!E448</f>
        <v>NOS</v>
      </c>
      <c r="M448" s="10" t="str">
        <f>T3_SKU!F448</f>
        <v>39233090</v>
      </c>
    </row>
    <row r="449" ht="15.0" customHeight="1">
      <c r="A449" s="10" t="str">
        <f>T3_SKU!A449</f>
        <v>WMD-50-YEL-28KG</v>
      </c>
      <c r="B449" s="10" t="str">
        <f>T3_SKU!B449</f>
        <v>WMD-50</v>
      </c>
      <c r="C449" s="10" t="str">
        <f t="array" ref="C449">IFERROR(INDEX(T2_GroupSKU!$B:$B,MATCH(B449,T2_GroupSKU!$A:$A,0)),"")</f>
        <v>Wide Mouth Drum - 50.0 LTR</v>
      </c>
      <c r="D449" s="10" t="str">
        <f t="array" ref="D449">IFERROR(INDEX(T1_ProductType!$B:$B,MATCH(INDEX(T2_GroupSKU!$C:$C,MATCH(B449,T2_GroupSKU!$A:$A,0)),T1_ProductType!$A:$A,0)),"")</f>
        <v>Wide Mouth Drum</v>
      </c>
      <c r="E449" s="10" t="str">
        <f t="array" ref="E449">IFERROR(INDEX(T1_ProductType!$C:$C,MATCH(INDEX(T2_GroupSKU!$C:$C,MATCH(B449,T2_GroupSKU!$A:$A,0)),T1_ProductType!$A:$A,0)),"")</f>
        <v>Drum</v>
      </c>
      <c r="F449" s="10" t="str">
        <f t="array" ref="F449">IFERROR(INDEX(T1_ProductType!$D:$D,MATCH(INDEX(T2_GroupSKU!$C:$C,MATCH(B449,T2_GroupSKU!$A:$A,0)),T1_ProductType!$A:$A,0)),"")</f>
        <v>Plastic Barrels</v>
      </c>
      <c r="G449" s="10" t="str">
        <f t="array" ref="G449">IFERROR(IF(INDEX(T1_ProductType!$E:$E,MATCH(INDEX(T2_GroupSKU!$C:$C,MATCH(B449,T2_GroupSKU!$A:$A,0)),T1_ProductType!$A:$A,0))="","-",INDEX(T1_ProductType!$E:$E,MATCH(INDEX(T2_GroupSKU!$C:$C,MATCH(B449,T2_GroupSKU!$A:$A,0)),T1_ProductType!$A:$A,0))),"-")</f>
        <v>Open Head Drum</v>
      </c>
      <c r="H449" s="10">
        <f t="array" ref="H449">IFERROR(IF(INDEX(T2_GroupSKU!$D:$D,MATCH(B449,T2_GroupSKU!$A:$A,0))="","-",INDEX(T2_GroupSKU!$D:$D,MATCH(B449,T2_GroupSKU!$A:$A,0))),"-")</f>
        <v>50</v>
      </c>
      <c r="I449" s="10" t="str">
        <f t="array" ref="I449">IFERROR(IF(INDEX(T2_GroupSKU!$E:$E,MATCH(B449,T2_GroupSKU!$A:$A,0))="","-",INDEX(T2_GroupSKU!$E:$E,MATCH(B449,T2_GroupSKU!$A:$A,0))),"-")</f>
        <v>LTR</v>
      </c>
      <c r="J449" s="10" t="str">
        <f>T3_SKU!C449</f>
        <v>Yellow / 2.8 KG</v>
      </c>
      <c r="K449" s="10" t="str">
        <f>T3_SKU!D449</f>
        <v>50 LTR YELLOW W/M 2.8 KG</v>
      </c>
      <c r="L449" s="10" t="str">
        <f>T3_SKU!E449</f>
        <v>NOS</v>
      </c>
      <c r="M449" s="10" t="str">
        <f>T3_SKU!F449</f>
        <v>39233090</v>
      </c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</sheetData>
  <autoFilter ref="$A$1:$M$449"/>
  <printOptions/>
  <pageMargins bottom="1.0" footer="0.0" header="0.0" left="0.75" right="0.75" top="1.0"/>
  <pageSetup paperSize="9" orientation="portrait"/>
  <drawing r:id="rId1"/>
</worksheet>
</file>